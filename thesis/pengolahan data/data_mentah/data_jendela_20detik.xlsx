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endela 20 deti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6">
    <font>
      <name val="Calibri"/>
      <family val="2"/>
      <color theme="1"/>
      <sz val="11"/>
      <scheme val="minor"/>
    </font>
    <font>
      <b val="1"/>
      <color rgb="00FFFFFF"/>
    </font>
    <font>
      <b val="1"/>
      <sz val="12"/>
    </font>
    <font>
      <b val="1"/>
    </font>
    <font>
      <b val="1"/>
      <i val="1"/>
    </font>
    <font>
      <i val="1"/>
    </font>
  </fonts>
  <fills count="4">
    <fill>
      <patternFill/>
    </fill>
    <fill>
      <patternFill patternType="gray125"/>
    </fill>
    <fill>
      <patternFill patternType="solid">
        <fgColor rgb="001C2A42"/>
      </patternFill>
    </fill>
    <fill>
      <patternFill patternType="solid">
        <fgColor rgb="00E8EC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2" fillId="0" borderId="0" pivotButton="0" quotePrefix="0" xfId="0"/>
    <xf numFmtId="0" fontId="3" fillId="3" borderId="0" applyAlignment="1" pivotButton="0" quotePrefix="0" xfId="0">
      <alignment horizontal="center" wrapText="1"/>
    </xf>
    <xf numFmtId="164" fontId="0" fillId="0" borderId="0" pivotButton="0" quotePrefix="0" xfId="0"/>
    <xf numFmtId="0" fontId="3" fillId="0" borderId="0" pivotButton="0" quotePrefix="0" xfId="0"/>
    <xf numFmtId="164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8" customWidth="1" min="2" max="2"/>
    <col width="10" customWidth="1" min="3" max="3"/>
    <col width="11" customWidth="1" min="4" max="4"/>
    <col width="9" customWidth="1" min="5" max="5"/>
    <col width="9" customWidth="1" min="6" max="6"/>
    <col width="9" customWidth="1" min="7" max="7"/>
    <col width="10" customWidth="1" min="8" max="8"/>
    <col width="15" customWidth="1" min="9" max="9"/>
    <col width="10" customWidth="1" min="10" max="10"/>
    <col width="12" customWidth="1" min="11" max="11"/>
    <col width="12" customWidth="1" min="12" max="12"/>
  </cols>
  <sheetData>
    <row r="1">
      <c r="A1" s="1" t="inlineStr">
        <is>
          <t>subjek</t>
        </is>
      </c>
      <c r="B1" s="1" t="inlineStr">
        <is>
          <t>jendela</t>
        </is>
      </c>
      <c r="C1" s="1" t="inlineStr">
        <is>
          <t>t_mulai_s</t>
        </is>
      </c>
      <c r="D1" s="1" t="inlineStr">
        <is>
          <t>t_selesai_s</t>
        </is>
      </c>
      <c r="E1" s="1" t="inlineStr">
        <is>
          <t>ecg_hz</t>
        </is>
      </c>
      <c r="F1" s="1" t="inlineStr">
        <is>
          <t>ecg_bpm</t>
        </is>
      </c>
      <c r="G1" s="1" t="inlineStr">
        <is>
          <t>radar_hz</t>
        </is>
      </c>
      <c r="H1" s="1" t="inlineStr">
        <is>
          <t>radar_bpm</t>
        </is>
      </c>
      <c r="I1" s="1" t="inlineStr">
        <is>
          <t>radar_bpm_sebelum_medfilt</t>
        </is>
      </c>
      <c r="J1" s="1" t="inlineStr">
        <is>
          <t>galat_bpm</t>
        </is>
      </c>
      <c r="K1" s="1" t="inlineStr">
        <is>
          <t>galat_mutlak_bpm</t>
        </is>
      </c>
      <c r="L1" s="1" t="inlineStr">
        <is>
          <t>galat_persen</t>
        </is>
      </c>
    </row>
    <row r="2">
      <c r="A2" t="inlineStr">
        <is>
          <t>subject01</t>
        </is>
      </c>
      <c r="B2" t="n">
        <v>1</v>
      </c>
      <c r="C2" t="n">
        <v>0</v>
      </c>
      <c r="D2" t="n">
        <v>20</v>
      </c>
      <c r="E2" t="n">
        <v>1.4805</v>
      </c>
      <c r="F2" t="n">
        <v>88.83</v>
      </c>
      <c r="G2">
        <f>H2/60</f>
        <v/>
      </c>
      <c r="H2">
        <f>MEDIAN(0,0,I2,I3,I4)</f>
        <v/>
      </c>
      <c r="I2" t="n">
        <v>87</v>
      </c>
      <c r="J2">
        <f>H2-F2</f>
        <v/>
      </c>
      <c r="K2">
        <f>ABS(J2)</f>
        <v/>
      </c>
      <c r="L2">
        <f>K2/F2*100</f>
        <v/>
      </c>
    </row>
    <row r="3">
      <c r="A3" t="inlineStr">
        <is>
          <t>subject01</t>
        </is>
      </c>
      <c r="B3" t="n">
        <v>2</v>
      </c>
      <c r="C3" t="n">
        <v>5</v>
      </c>
      <c r="D3" t="n">
        <v>25</v>
      </c>
      <c r="E3" t="n">
        <v>1.4625</v>
      </c>
      <c r="F3" t="n">
        <v>87.75</v>
      </c>
      <c r="G3">
        <f>H3/60</f>
        <v/>
      </c>
      <c r="H3">
        <f>MEDIAN(0,I2,I3,I4,I5)</f>
        <v/>
      </c>
      <c r="I3" t="n">
        <v>87</v>
      </c>
      <c r="J3">
        <f>H3-F3</f>
        <v/>
      </c>
      <c r="K3">
        <f>ABS(J3)</f>
        <v/>
      </c>
      <c r="L3">
        <f>K3/F3*100</f>
        <v/>
      </c>
    </row>
    <row r="4">
      <c r="A4" t="inlineStr">
        <is>
          <t>subject01</t>
        </is>
      </c>
      <c r="B4" t="n">
        <v>3</v>
      </c>
      <c r="C4" t="n">
        <v>10</v>
      </c>
      <c r="D4" t="n">
        <v>30</v>
      </c>
      <c r="E4" t="n">
        <v>1.4219</v>
      </c>
      <c r="F4" t="n">
        <v>85.31999999999999</v>
      </c>
      <c r="G4">
        <f>H4/60</f>
        <v/>
      </c>
      <c r="H4">
        <f>MEDIAN(I2,I3,I4,I5,I6)</f>
        <v/>
      </c>
      <c r="I4" t="n">
        <v>87</v>
      </c>
      <c r="J4">
        <f>H4-F4</f>
        <v/>
      </c>
      <c r="K4">
        <f>ABS(J4)</f>
        <v/>
      </c>
      <c r="L4">
        <f>K4/F4*100</f>
        <v/>
      </c>
    </row>
    <row r="5">
      <c r="A5" t="inlineStr">
        <is>
          <t>subject01</t>
        </is>
      </c>
      <c r="B5" t="n">
        <v>4</v>
      </c>
      <c r="C5" t="n">
        <v>15</v>
      </c>
      <c r="D5" t="n">
        <v>35</v>
      </c>
      <c r="E5" t="n">
        <v>1.4122</v>
      </c>
      <c r="F5" t="n">
        <v>84.73</v>
      </c>
      <c r="G5">
        <f>H5/60</f>
        <v/>
      </c>
      <c r="H5">
        <f>MEDIAN(I3,I4,I5,I6,I7)</f>
        <v/>
      </c>
      <c r="I5" t="n">
        <v>81</v>
      </c>
      <c r="J5">
        <f>H5-F5</f>
        <v/>
      </c>
      <c r="K5">
        <f>ABS(J5)</f>
        <v/>
      </c>
      <c r="L5">
        <f>K5/F5*100</f>
        <v/>
      </c>
    </row>
    <row r="6">
      <c r="A6" t="inlineStr">
        <is>
          <t>subject01</t>
        </is>
      </c>
      <c r="B6" t="n">
        <v>5</v>
      </c>
      <c r="C6" t="n">
        <v>20</v>
      </c>
      <c r="D6" t="n">
        <v>40</v>
      </c>
      <c r="E6" t="n">
        <v>1.3967</v>
      </c>
      <c r="F6" t="n">
        <v>83.8</v>
      </c>
      <c r="G6">
        <f>H6/60</f>
        <v/>
      </c>
      <c r="H6">
        <f>MEDIAN(I4,I5,I6,I7,I8)</f>
        <v/>
      </c>
      <c r="I6" t="n">
        <v>81</v>
      </c>
      <c r="J6">
        <f>H6-F6</f>
        <v/>
      </c>
      <c r="K6">
        <f>ABS(J6)</f>
        <v/>
      </c>
      <c r="L6">
        <f>K6/F6*100</f>
        <v/>
      </c>
    </row>
    <row r="7">
      <c r="A7" t="inlineStr">
        <is>
          <t>subject01</t>
        </is>
      </c>
      <c r="B7" t="n">
        <v>6</v>
      </c>
      <c r="C7" t="n">
        <v>25</v>
      </c>
      <c r="D7" t="n">
        <v>45</v>
      </c>
      <c r="E7" t="n">
        <v>1.4121</v>
      </c>
      <c r="F7" t="n">
        <v>84.72</v>
      </c>
      <c r="G7">
        <f>H7/60</f>
        <v/>
      </c>
      <c r="H7">
        <f>MEDIAN(I5,I6,I7,I8,I9)</f>
        <v/>
      </c>
      <c r="I7" t="n">
        <v>84</v>
      </c>
      <c r="J7">
        <f>H7-F7</f>
        <v/>
      </c>
      <c r="K7">
        <f>ABS(J7)</f>
        <v/>
      </c>
      <c r="L7">
        <f>K7/F7*100</f>
        <v/>
      </c>
    </row>
    <row r="8">
      <c r="A8" t="inlineStr">
        <is>
          <t>subject01</t>
        </is>
      </c>
      <c r="B8" t="n">
        <v>7</v>
      </c>
      <c r="C8" t="n">
        <v>30</v>
      </c>
      <c r="D8" t="n">
        <v>50</v>
      </c>
      <c r="E8" t="n">
        <v>1.4582</v>
      </c>
      <c r="F8" t="n">
        <v>87.48999999999999</v>
      </c>
      <c r="G8">
        <f>H8/60</f>
        <v/>
      </c>
      <c r="H8">
        <f>MEDIAN(I6,I7,I8,I9,I10)</f>
        <v/>
      </c>
      <c r="I8" t="n">
        <v>87</v>
      </c>
      <c r="J8">
        <f>H8-F8</f>
        <v/>
      </c>
      <c r="K8">
        <f>ABS(J8)</f>
        <v/>
      </c>
      <c r="L8">
        <f>K8/F8*100</f>
        <v/>
      </c>
    </row>
    <row r="9">
      <c r="A9" t="inlineStr">
        <is>
          <t>subject01</t>
        </is>
      </c>
      <c r="B9" t="n">
        <v>8</v>
      </c>
      <c r="C9" t="n">
        <v>35</v>
      </c>
      <c r="D9" t="n">
        <v>55</v>
      </c>
      <c r="E9" t="n">
        <v>1.4672</v>
      </c>
      <c r="F9" t="n">
        <v>88.03</v>
      </c>
      <c r="G9">
        <f>H9/60</f>
        <v/>
      </c>
      <c r="H9">
        <f>MEDIAN(I7,I8,I9,I10,I11)</f>
        <v/>
      </c>
      <c r="I9" t="n">
        <v>108</v>
      </c>
      <c r="J9">
        <f>H9-F9</f>
        <v/>
      </c>
      <c r="K9">
        <f>ABS(J9)</f>
        <v/>
      </c>
      <c r="L9">
        <f>K9/F9*100</f>
        <v/>
      </c>
    </row>
    <row r="10">
      <c r="A10" t="inlineStr">
        <is>
          <t>subject01</t>
        </is>
      </c>
      <c r="B10" t="n">
        <v>9</v>
      </c>
      <c r="C10" t="n">
        <v>40</v>
      </c>
      <c r="D10" t="n">
        <v>60</v>
      </c>
      <c r="E10" t="n">
        <v>1.4907</v>
      </c>
      <c r="F10" t="n">
        <v>89.44</v>
      </c>
      <c r="G10">
        <f>H10/60</f>
        <v/>
      </c>
      <c r="H10">
        <f>MEDIAN(I8,I9,I10,I11,I12)</f>
        <v/>
      </c>
      <c r="I10" t="n">
        <v>108</v>
      </c>
      <c r="J10">
        <f>H10-F10</f>
        <v/>
      </c>
      <c r="K10">
        <f>ABS(J10)</f>
        <v/>
      </c>
      <c r="L10">
        <f>K10/F10*100</f>
        <v/>
      </c>
    </row>
    <row r="11">
      <c r="A11" t="inlineStr">
        <is>
          <t>subject01</t>
        </is>
      </c>
      <c r="B11" t="n">
        <v>10</v>
      </c>
      <c r="C11" t="n">
        <v>45</v>
      </c>
      <c r="D11" t="n">
        <v>65</v>
      </c>
      <c r="E11" t="n">
        <v>1.4947</v>
      </c>
      <c r="F11" t="n">
        <v>89.68000000000001</v>
      </c>
      <c r="G11">
        <f>H11/60</f>
        <v/>
      </c>
      <c r="H11">
        <f>MEDIAN(I9,I10,I11,I12,I13)</f>
        <v/>
      </c>
      <c r="I11" t="n">
        <v>90</v>
      </c>
      <c r="J11">
        <f>H11-F11</f>
        <v/>
      </c>
      <c r="K11">
        <f>ABS(J11)</f>
        <v/>
      </c>
      <c r="L11">
        <f>K11/F11*100</f>
        <v/>
      </c>
    </row>
    <row r="12">
      <c r="A12" t="inlineStr">
        <is>
          <t>subject01</t>
        </is>
      </c>
      <c r="B12" t="n">
        <v>11</v>
      </c>
      <c r="C12" t="n">
        <v>50</v>
      </c>
      <c r="D12" t="n">
        <v>70</v>
      </c>
      <c r="E12" t="n">
        <v>1.494</v>
      </c>
      <c r="F12" t="n">
        <v>89.64</v>
      </c>
      <c r="G12">
        <f>H12/60</f>
        <v/>
      </c>
      <c r="H12">
        <f>MEDIAN(I10,I11,I12,I13,I14)</f>
        <v/>
      </c>
      <c r="I12" t="n">
        <v>90</v>
      </c>
      <c r="J12">
        <f>H12-F12</f>
        <v/>
      </c>
      <c r="K12">
        <f>ABS(J12)</f>
        <v/>
      </c>
      <c r="L12">
        <f>K12/F12*100</f>
        <v/>
      </c>
    </row>
    <row r="13">
      <c r="A13" t="inlineStr">
        <is>
          <t>subject01</t>
        </is>
      </c>
      <c r="B13" t="n">
        <v>12</v>
      </c>
      <c r="C13" t="n">
        <v>55</v>
      </c>
      <c r="D13" t="n">
        <v>75</v>
      </c>
      <c r="E13" t="n">
        <v>1.5097</v>
      </c>
      <c r="F13" t="n">
        <v>90.58</v>
      </c>
      <c r="G13">
        <f>H13/60</f>
        <v/>
      </c>
      <c r="H13">
        <f>MEDIAN(I11,I12,I13,I14,I15)</f>
        <v/>
      </c>
      <c r="I13" t="n">
        <v>90</v>
      </c>
      <c r="J13">
        <f>H13-F13</f>
        <v/>
      </c>
      <c r="K13">
        <f>ABS(J13)</f>
        <v/>
      </c>
      <c r="L13">
        <f>K13/F13*100</f>
        <v/>
      </c>
    </row>
    <row r="14">
      <c r="A14" t="inlineStr">
        <is>
          <t>subject01</t>
        </is>
      </c>
      <c r="B14" t="n">
        <v>13</v>
      </c>
      <c r="C14" t="n">
        <v>60</v>
      </c>
      <c r="D14" t="n">
        <v>80</v>
      </c>
      <c r="E14" t="n">
        <v>1.5134</v>
      </c>
      <c r="F14" t="n">
        <v>90.8</v>
      </c>
      <c r="G14">
        <f>H14/60</f>
        <v/>
      </c>
      <c r="H14">
        <f>MEDIAN(I12,I13,I14,I15,I16)</f>
        <v/>
      </c>
      <c r="I14" t="n">
        <v>90</v>
      </c>
      <c r="J14">
        <f>H14-F14</f>
        <v/>
      </c>
      <c r="K14">
        <f>ABS(J14)</f>
        <v/>
      </c>
      <c r="L14">
        <f>K14/F14*100</f>
        <v/>
      </c>
    </row>
    <row r="15">
      <c r="A15" t="inlineStr">
        <is>
          <t>subject01</t>
        </is>
      </c>
      <c r="B15" t="n">
        <v>14</v>
      </c>
      <c r="C15" t="n">
        <v>65</v>
      </c>
      <c r="D15" t="n">
        <v>85</v>
      </c>
      <c r="E15" t="n">
        <v>1.5227</v>
      </c>
      <c r="F15" t="n">
        <v>91.36</v>
      </c>
      <c r="G15">
        <f>H15/60</f>
        <v/>
      </c>
      <c r="H15">
        <f>MEDIAN(I13,I14,I15,I16,I17)</f>
        <v/>
      </c>
      <c r="I15" t="n">
        <v>90</v>
      </c>
      <c r="J15">
        <f>H15-F15</f>
        <v/>
      </c>
      <c r="K15">
        <f>ABS(J15)</f>
        <v/>
      </c>
      <c r="L15">
        <f>K15/F15*100</f>
        <v/>
      </c>
    </row>
    <row r="16">
      <c r="A16" t="inlineStr">
        <is>
          <t>subject01</t>
        </is>
      </c>
      <c r="B16" t="n">
        <v>15</v>
      </c>
      <c r="C16" t="n">
        <v>70</v>
      </c>
      <c r="D16" t="n">
        <v>90</v>
      </c>
      <c r="E16" t="n">
        <v>1.5167</v>
      </c>
      <c r="F16" t="n">
        <v>91</v>
      </c>
      <c r="G16">
        <f>H16/60</f>
        <v/>
      </c>
      <c r="H16">
        <f>MEDIAN(I14,I15,I16,I17,I18)</f>
        <v/>
      </c>
      <c r="I16" t="n">
        <v>90</v>
      </c>
      <c r="J16">
        <f>H16-F16</f>
        <v/>
      </c>
      <c r="K16">
        <f>ABS(J16)</f>
        <v/>
      </c>
      <c r="L16">
        <f>K16/F16*100</f>
        <v/>
      </c>
    </row>
    <row r="17">
      <c r="A17" t="inlineStr">
        <is>
          <t>subject01</t>
        </is>
      </c>
      <c r="B17" t="n">
        <v>16</v>
      </c>
      <c r="C17" t="n">
        <v>75</v>
      </c>
      <c r="D17" t="n">
        <v>95</v>
      </c>
      <c r="E17" t="n">
        <v>1.5022</v>
      </c>
      <c r="F17" t="n">
        <v>90.13</v>
      </c>
      <c r="G17">
        <f>H17/60</f>
        <v/>
      </c>
      <c r="H17">
        <f>MEDIAN(I15,I16,I17,I18,I19)</f>
        <v/>
      </c>
      <c r="I17" t="n">
        <v>90</v>
      </c>
      <c r="J17">
        <f>H17-F17</f>
        <v/>
      </c>
      <c r="K17">
        <f>ABS(J17)</f>
        <v/>
      </c>
      <c r="L17">
        <f>K17/F17*100</f>
        <v/>
      </c>
    </row>
    <row r="18">
      <c r="A18" t="inlineStr">
        <is>
          <t>subject01</t>
        </is>
      </c>
      <c r="B18" t="n">
        <v>17</v>
      </c>
      <c r="C18" t="n">
        <v>80</v>
      </c>
      <c r="D18" t="n">
        <v>100</v>
      </c>
      <c r="E18" t="n">
        <v>1.481</v>
      </c>
      <c r="F18" t="n">
        <v>88.86</v>
      </c>
      <c r="G18">
        <f>H18/60</f>
        <v/>
      </c>
      <c r="H18">
        <f>MEDIAN(I16,I17,I18,I19,I20)</f>
        <v/>
      </c>
      <c r="I18" t="n">
        <v>90</v>
      </c>
      <c r="J18">
        <f>H18-F18</f>
        <v/>
      </c>
      <c r="K18">
        <f>ABS(J18)</f>
        <v/>
      </c>
      <c r="L18">
        <f>K18/F18*100</f>
        <v/>
      </c>
    </row>
    <row r="19">
      <c r="A19" t="inlineStr">
        <is>
          <t>subject01</t>
        </is>
      </c>
      <c r="B19" t="n">
        <v>18</v>
      </c>
      <c r="C19" t="n">
        <v>85</v>
      </c>
      <c r="D19" t="n">
        <v>105</v>
      </c>
      <c r="E19" t="n">
        <v>1.4793</v>
      </c>
      <c r="F19" t="n">
        <v>88.76000000000001</v>
      </c>
      <c r="G19">
        <f>H19/60</f>
        <v/>
      </c>
      <c r="H19">
        <f>MEDIAN(I17,I18,I19,I20,I21)</f>
        <v/>
      </c>
      <c r="I19" t="n">
        <v>87</v>
      </c>
      <c r="J19">
        <f>H19-F19</f>
        <v/>
      </c>
      <c r="K19">
        <f>ABS(J19)</f>
        <v/>
      </c>
      <c r="L19">
        <f>K19/F19*100</f>
        <v/>
      </c>
    </row>
    <row r="20">
      <c r="A20" t="inlineStr">
        <is>
          <t>subject01</t>
        </is>
      </c>
      <c r="B20" t="n">
        <v>19</v>
      </c>
      <c r="C20" t="n">
        <v>90</v>
      </c>
      <c r="D20" t="n">
        <v>110</v>
      </c>
      <c r="E20" t="n">
        <v>1.4841</v>
      </c>
      <c r="F20" t="n">
        <v>89.04000000000001</v>
      </c>
      <c r="G20">
        <f>H20/60</f>
        <v/>
      </c>
      <c r="H20">
        <f>MEDIAN(I18,I19,I20,I21,I22)</f>
        <v/>
      </c>
      <c r="I20" t="n">
        <v>87</v>
      </c>
      <c r="J20">
        <f>H20-F20</f>
        <v/>
      </c>
      <c r="K20">
        <f>ABS(J20)</f>
        <v/>
      </c>
      <c r="L20">
        <f>K20/F20*100</f>
        <v/>
      </c>
    </row>
    <row r="21">
      <c r="A21" t="inlineStr">
        <is>
          <t>subject01</t>
        </is>
      </c>
      <c r="B21" t="n">
        <v>20</v>
      </c>
      <c r="C21" t="n">
        <v>95</v>
      </c>
      <c r="D21" t="n">
        <v>115</v>
      </c>
      <c r="E21" t="n">
        <v>1.5015</v>
      </c>
      <c r="F21" t="n">
        <v>90.09</v>
      </c>
      <c r="G21">
        <f>H21/60</f>
        <v/>
      </c>
      <c r="H21">
        <f>MEDIAN(I19,I20,I21,I22,I23)</f>
        <v/>
      </c>
      <c r="I21" t="n">
        <v>90</v>
      </c>
      <c r="J21">
        <f>H21-F21</f>
        <v/>
      </c>
      <c r="K21">
        <f>ABS(J21)</f>
        <v/>
      </c>
      <c r="L21">
        <f>K21/F21*100</f>
        <v/>
      </c>
    </row>
    <row r="22">
      <c r="A22" t="inlineStr">
        <is>
          <t>subject01</t>
        </is>
      </c>
      <c r="B22" t="n">
        <v>21</v>
      </c>
      <c r="C22" t="n">
        <v>100</v>
      </c>
      <c r="D22" t="n">
        <v>120</v>
      </c>
      <c r="E22" t="n">
        <v>1.5163</v>
      </c>
      <c r="F22" t="n">
        <v>90.98</v>
      </c>
      <c r="G22">
        <f>H22/60</f>
        <v/>
      </c>
      <c r="H22">
        <f>MEDIAN(I20,I21,I22,I23,I24)</f>
        <v/>
      </c>
      <c r="I22" t="n">
        <v>93</v>
      </c>
      <c r="J22">
        <f>H22-F22</f>
        <v/>
      </c>
      <c r="K22">
        <f>ABS(J22)</f>
        <v/>
      </c>
      <c r="L22">
        <f>K22/F22*100</f>
        <v/>
      </c>
    </row>
    <row r="23">
      <c r="A23" t="inlineStr">
        <is>
          <t>subject01</t>
        </is>
      </c>
      <c r="B23" t="n">
        <v>22</v>
      </c>
      <c r="C23" t="n">
        <v>105</v>
      </c>
      <c r="D23" t="n">
        <v>125</v>
      </c>
      <c r="E23" t="n">
        <v>1.5052</v>
      </c>
      <c r="F23" t="n">
        <v>90.31</v>
      </c>
      <c r="G23">
        <f>H23/60</f>
        <v/>
      </c>
      <c r="H23">
        <f>MEDIAN(I21,I22,I23,I24,I25)</f>
        <v/>
      </c>
      <c r="I23" t="n">
        <v>90</v>
      </c>
      <c r="J23">
        <f>H23-F23</f>
        <v/>
      </c>
      <c r="K23">
        <f>ABS(J23)</f>
        <v/>
      </c>
      <c r="L23">
        <f>K23/F23*100</f>
        <v/>
      </c>
    </row>
    <row r="24">
      <c r="A24" t="inlineStr">
        <is>
          <t>subject01</t>
        </is>
      </c>
      <c r="B24" t="n">
        <v>23</v>
      </c>
      <c r="C24" t="n">
        <v>110</v>
      </c>
      <c r="D24" t="n">
        <v>130</v>
      </c>
      <c r="E24" t="n">
        <v>1.5042</v>
      </c>
      <c r="F24" t="n">
        <v>90.25</v>
      </c>
      <c r="G24">
        <f>H24/60</f>
        <v/>
      </c>
      <c r="H24">
        <f>MEDIAN(I22,I23,I24,I25,I26)</f>
        <v/>
      </c>
      <c r="I24" t="n">
        <v>90</v>
      </c>
      <c r="J24">
        <f>H24-F24</f>
        <v/>
      </c>
      <c r="K24">
        <f>ABS(J24)</f>
        <v/>
      </c>
      <c r="L24">
        <f>K24/F24*100</f>
        <v/>
      </c>
    </row>
    <row r="25">
      <c r="A25" t="inlineStr">
        <is>
          <t>subject01</t>
        </is>
      </c>
      <c r="B25" t="n">
        <v>24</v>
      </c>
      <c r="C25" t="n">
        <v>115</v>
      </c>
      <c r="D25" t="n">
        <v>135</v>
      </c>
      <c r="E25" t="n">
        <v>1.5032</v>
      </c>
      <c r="F25" t="n">
        <v>90.19</v>
      </c>
      <c r="G25">
        <f>H25/60</f>
        <v/>
      </c>
      <c r="H25">
        <f>MEDIAN(I23,I24,I25,I26,I27)</f>
        <v/>
      </c>
      <c r="I25" t="n">
        <v>90</v>
      </c>
      <c r="J25">
        <f>H25-F25</f>
        <v/>
      </c>
      <c r="K25">
        <f>ABS(J25)</f>
        <v/>
      </c>
      <c r="L25">
        <f>K25/F25*100</f>
        <v/>
      </c>
    </row>
    <row r="26">
      <c r="A26" t="inlineStr">
        <is>
          <t>subject01</t>
        </is>
      </c>
      <c r="B26" t="n">
        <v>25</v>
      </c>
      <c r="C26" t="n">
        <v>120</v>
      </c>
      <c r="D26" t="n">
        <v>140</v>
      </c>
      <c r="E26" t="n">
        <v>1.5182</v>
      </c>
      <c r="F26" t="n">
        <v>91.09</v>
      </c>
      <c r="G26">
        <f>H26/60</f>
        <v/>
      </c>
      <c r="H26">
        <f>MEDIAN(I24,I25,I26,I27,I28)</f>
        <v/>
      </c>
      <c r="I26" t="n">
        <v>90</v>
      </c>
      <c r="J26">
        <f>H26-F26</f>
        <v/>
      </c>
      <c r="K26">
        <f>ABS(J26)</f>
        <v/>
      </c>
      <c r="L26">
        <f>K26/F26*100</f>
        <v/>
      </c>
    </row>
    <row r="27">
      <c r="A27" t="inlineStr">
        <is>
          <t>subject01</t>
        </is>
      </c>
      <c r="B27" t="n">
        <v>26</v>
      </c>
      <c r="C27" t="n">
        <v>125</v>
      </c>
      <c r="D27" t="n">
        <v>145</v>
      </c>
      <c r="E27" t="n">
        <v>1.5308</v>
      </c>
      <c r="F27" t="n">
        <v>91.84999999999999</v>
      </c>
      <c r="G27">
        <f>H27/60</f>
        <v/>
      </c>
      <c r="H27">
        <f>MEDIAN(I25,I26,I27,I28,I29)</f>
        <v/>
      </c>
      <c r="I27" t="n">
        <v>93</v>
      </c>
      <c r="J27">
        <f>H27-F27</f>
        <v/>
      </c>
      <c r="K27">
        <f>ABS(J27)</f>
        <v/>
      </c>
      <c r="L27">
        <f>K27/F27*100</f>
        <v/>
      </c>
    </row>
    <row r="28">
      <c r="A28" t="inlineStr">
        <is>
          <t>subject01</t>
        </is>
      </c>
      <c r="B28" t="n">
        <v>27</v>
      </c>
      <c r="C28" t="n">
        <v>130</v>
      </c>
      <c r="D28" t="n">
        <v>150</v>
      </c>
      <c r="E28" t="n">
        <v>1.5406</v>
      </c>
      <c r="F28" t="n">
        <v>92.44</v>
      </c>
      <c r="G28">
        <f>H28/60</f>
        <v/>
      </c>
      <c r="H28">
        <f>MEDIAN(I26,I27,I28,I29,I30)</f>
        <v/>
      </c>
      <c r="I28" t="n">
        <v>93</v>
      </c>
      <c r="J28">
        <f>H28-F28</f>
        <v/>
      </c>
      <c r="K28">
        <f>ABS(J28)</f>
        <v/>
      </c>
      <c r="L28">
        <f>K28/F28*100</f>
        <v/>
      </c>
    </row>
    <row r="29">
      <c r="A29" t="inlineStr">
        <is>
          <t>subject01</t>
        </is>
      </c>
      <c r="B29" t="n">
        <v>28</v>
      </c>
      <c r="C29" t="n">
        <v>135</v>
      </c>
      <c r="D29" t="n">
        <v>155</v>
      </c>
      <c r="E29" t="n">
        <v>1.5336</v>
      </c>
      <c r="F29" t="n">
        <v>92.02</v>
      </c>
      <c r="G29">
        <f>H29/60</f>
        <v/>
      </c>
      <c r="H29">
        <f>MEDIAN(I27,I28,I29,I30,I31)</f>
        <v/>
      </c>
      <c r="I29" t="n">
        <v>93</v>
      </c>
      <c r="J29">
        <f>H29-F29</f>
        <v/>
      </c>
      <c r="K29">
        <f>ABS(J29)</f>
        <v/>
      </c>
      <c r="L29">
        <f>K29/F29*100</f>
        <v/>
      </c>
    </row>
    <row r="30">
      <c r="A30" t="inlineStr">
        <is>
          <t>subject01</t>
        </is>
      </c>
      <c r="B30" t="n">
        <v>29</v>
      </c>
      <c r="C30" t="n">
        <v>140</v>
      </c>
      <c r="D30" t="n">
        <v>160</v>
      </c>
      <c r="E30" t="n">
        <v>1.5372</v>
      </c>
      <c r="F30" t="n">
        <v>92.23</v>
      </c>
      <c r="G30">
        <f>H30/60</f>
        <v/>
      </c>
      <c r="H30">
        <f>MEDIAN(I28,I29,I30,I31,I32)</f>
        <v/>
      </c>
      <c r="I30" t="n">
        <v>90</v>
      </c>
      <c r="J30">
        <f>H30-F30</f>
        <v/>
      </c>
      <c r="K30">
        <f>ABS(J30)</f>
        <v/>
      </c>
      <c r="L30">
        <f>K30/F30*100</f>
        <v/>
      </c>
    </row>
    <row r="31">
      <c r="A31" t="inlineStr">
        <is>
          <t>subject01</t>
        </is>
      </c>
      <c r="B31" t="n">
        <v>30</v>
      </c>
      <c r="C31" t="n">
        <v>145</v>
      </c>
      <c r="D31" t="n">
        <v>165</v>
      </c>
      <c r="E31" t="n">
        <v>1.5252</v>
      </c>
      <c r="F31" t="n">
        <v>91.51000000000001</v>
      </c>
      <c r="G31">
        <f>H31/60</f>
        <v/>
      </c>
      <c r="H31">
        <f>MEDIAN(I29,I30,I31,I32,I33)</f>
        <v/>
      </c>
      <c r="I31" t="n">
        <v>69</v>
      </c>
      <c r="J31">
        <f>H31-F31</f>
        <v/>
      </c>
      <c r="K31">
        <f>ABS(J31)</f>
        <v/>
      </c>
      <c r="L31">
        <f>K31/F31*100</f>
        <v/>
      </c>
    </row>
    <row r="32">
      <c r="A32" t="inlineStr">
        <is>
          <t>subject01</t>
        </is>
      </c>
      <c r="B32" t="n">
        <v>31</v>
      </c>
      <c r="C32" t="n">
        <v>150</v>
      </c>
      <c r="D32" t="n">
        <v>170</v>
      </c>
      <c r="E32" t="n">
        <v>1.5253</v>
      </c>
      <c r="F32" t="n">
        <v>91.52</v>
      </c>
      <c r="G32">
        <f>H32/60</f>
        <v/>
      </c>
      <c r="H32">
        <f>MEDIAN(I30,I31,I32,I33,I34)</f>
        <v/>
      </c>
      <c r="I32" t="n">
        <v>72</v>
      </c>
      <c r="J32">
        <f>H32-F32</f>
        <v/>
      </c>
      <c r="K32">
        <f>ABS(J32)</f>
        <v/>
      </c>
      <c r="L32">
        <f>K32/F32*100</f>
        <v/>
      </c>
    </row>
    <row r="33">
      <c r="A33" t="inlineStr">
        <is>
          <t>subject01</t>
        </is>
      </c>
      <c r="B33" t="n">
        <v>32</v>
      </c>
      <c r="C33" t="n">
        <v>155</v>
      </c>
      <c r="D33" t="n">
        <v>175</v>
      </c>
      <c r="E33" t="n">
        <v>1.5461</v>
      </c>
      <c r="F33" t="n">
        <v>92.76000000000001</v>
      </c>
      <c r="G33">
        <f>H33/60</f>
        <v/>
      </c>
      <c r="H33">
        <f>MEDIAN(I31,I32,I33,I34,I35)</f>
        <v/>
      </c>
      <c r="I33" t="n">
        <v>72</v>
      </c>
      <c r="J33">
        <f>H33-F33</f>
        <v/>
      </c>
      <c r="K33">
        <f>ABS(J33)</f>
        <v/>
      </c>
      <c r="L33">
        <f>K33/F33*100</f>
        <v/>
      </c>
    </row>
    <row r="34">
      <c r="A34" t="inlineStr">
        <is>
          <t>subject01</t>
        </is>
      </c>
      <c r="B34" t="n">
        <v>33</v>
      </c>
      <c r="C34" t="n">
        <v>160</v>
      </c>
      <c r="D34" t="n">
        <v>180</v>
      </c>
      <c r="E34" t="n">
        <v>1.523</v>
      </c>
      <c r="F34" t="n">
        <v>91.38</v>
      </c>
      <c r="G34">
        <f>H34/60</f>
        <v/>
      </c>
      <c r="H34">
        <f>MEDIAN(I32,I33,I34,I35,I36)</f>
        <v/>
      </c>
      <c r="I34" t="n">
        <v>93</v>
      </c>
      <c r="J34">
        <f>H34-F34</f>
        <v/>
      </c>
      <c r="K34">
        <f>ABS(J34)</f>
        <v/>
      </c>
      <c r="L34">
        <f>K34/F34*100</f>
        <v/>
      </c>
    </row>
    <row r="35">
      <c r="A35" t="inlineStr">
        <is>
          <t>subject01</t>
        </is>
      </c>
      <c r="B35" t="n">
        <v>34</v>
      </c>
      <c r="C35" t="n">
        <v>165</v>
      </c>
      <c r="D35" t="n">
        <v>185</v>
      </c>
      <c r="E35" t="n">
        <v>1.5244</v>
      </c>
      <c r="F35" t="n">
        <v>91.47</v>
      </c>
      <c r="G35">
        <f>H35/60</f>
        <v/>
      </c>
      <c r="H35">
        <f>MEDIAN(I33,I34,I35,I36,I37)</f>
        <v/>
      </c>
      <c r="I35" t="n">
        <v>93</v>
      </c>
      <c r="J35">
        <f>H35-F35</f>
        <v/>
      </c>
      <c r="K35">
        <f>ABS(J35)</f>
        <v/>
      </c>
      <c r="L35">
        <f>K35/F35*100</f>
        <v/>
      </c>
    </row>
    <row r="36">
      <c r="A36" t="inlineStr">
        <is>
          <t>subject01</t>
        </is>
      </c>
      <c r="B36" t="n">
        <v>35</v>
      </c>
      <c r="C36" t="n">
        <v>170</v>
      </c>
      <c r="D36" t="n">
        <v>190</v>
      </c>
      <c r="E36" t="n">
        <v>1.4934</v>
      </c>
      <c r="F36" t="n">
        <v>89.59999999999999</v>
      </c>
      <c r="G36">
        <f>H36/60</f>
        <v/>
      </c>
      <c r="H36">
        <f>MEDIAN(I34,I35,I36,I37,I38)</f>
        <v/>
      </c>
      <c r="I36" t="n">
        <v>90</v>
      </c>
      <c r="J36">
        <f>H36-F36</f>
        <v/>
      </c>
      <c r="K36">
        <f>ABS(J36)</f>
        <v/>
      </c>
      <c r="L36">
        <f>K36/F36*100</f>
        <v/>
      </c>
    </row>
    <row r="37">
      <c r="A37" t="inlineStr">
        <is>
          <t>subject01</t>
        </is>
      </c>
      <c r="B37" t="n">
        <v>36</v>
      </c>
      <c r="C37" t="n">
        <v>175</v>
      </c>
      <c r="D37" t="n">
        <v>195</v>
      </c>
      <c r="E37" t="n">
        <v>1.4586</v>
      </c>
      <c r="F37" t="n">
        <v>87.51000000000001</v>
      </c>
      <c r="G37">
        <f>H37/60</f>
        <v/>
      </c>
      <c r="H37">
        <f>MEDIAN(I35,I36,I37,I38,I39)</f>
        <v/>
      </c>
      <c r="I37" t="n">
        <v>87</v>
      </c>
      <c r="J37">
        <f>H37-F37</f>
        <v/>
      </c>
      <c r="K37">
        <f>ABS(J37)</f>
        <v/>
      </c>
      <c r="L37">
        <f>K37/F37*100</f>
        <v/>
      </c>
    </row>
    <row r="38">
      <c r="A38" t="inlineStr">
        <is>
          <t>subject01</t>
        </is>
      </c>
      <c r="B38" t="n">
        <v>37</v>
      </c>
      <c r="C38" t="n">
        <v>180</v>
      </c>
      <c r="D38" t="n">
        <v>200</v>
      </c>
      <c r="E38" t="n">
        <v>1.4567</v>
      </c>
      <c r="F38" t="n">
        <v>87.40000000000001</v>
      </c>
      <c r="G38">
        <f>H38/60</f>
        <v/>
      </c>
      <c r="H38">
        <f>MEDIAN(I36,I37,I38,I39,I40)</f>
        <v/>
      </c>
      <c r="I38" t="n">
        <v>87</v>
      </c>
      <c r="J38">
        <f>H38-F38</f>
        <v/>
      </c>
      <c r="K38">
        <f>ABS(J38)</f>
        <v/>
      </c>
      <c r="L38">
        <f>K38/F38*100</f>
        <v/>
      </c>
    </row>
    <row r="39">
      <c r="A39" t="inlineStr">
        <is>
          <t>subject01</t>
        </is>
      </c>
      <c r="B39" t="n">
        <v>38</v>
      </c>
      <c r="C39" t="n">
        <v>185</v>
      </c>
      <c r="D39" t="n">
        <v>205</v>
      </c>
      <c r="E39" t="n">
        <v>1.4613</v>
      </c>
      <c r="F39" t="n">
        <v>87.68000000000001</v>
      </c>
      <c r="G39">
        <f>H39/60</f>
        <v/>
      </c>
      <c r="H39">
        <f>MEDIAN(I37,I38,I39,I40,I41)</f>
        <v/>
      </c>
      <c r="I39" t="n">
        <v>87</v>
      </c>
      <c r="J39">
        <f>H39-F39</f>
        <v/>
      </c>
      <c r="K39">
        <f>ABS(J39)</f>
        <v/>
      </c>
      <c r="L39">
        <f>K39/F39*100</f>
        <v/>
      </c>
    </row>
    <row r="40">
      <c r="A40" t="inlineStr">
        <is>
          <t>subject01</t>
        </is>
      </c>
      <c r="B40" t="n">
        <v>39</v>
      </c>
      <c r="C40" t="n">
        <v>190</v>
      </c>
      <c r="D40" t="n">
        <v>210</v>
      </c>
      <c r="E40" t="n">
        <v>1.4713</v>
      </c>
      <c r="F40" t="n">
        <v>88.28</v>
      </c>
      <c r="G40">
        <f>H40/60</f>
        <v/>
      </c>
      <c r="H40">
        <f>MEDIAN(I38,I39,I40,I41,I42)</f>
        <v/>
      </c>
      <c r="I40" t="n">
        <v>87</v>
      </c>
      <c r="J40">
        <f>H40-F40</f>
        <v/>
      </c>
      <c r="K40">
        <f>ABS(J40)</f>
        <v/>
      </c>
      <c r="L40">
        <f>K40/F40*100</f>
        <v/>
      </c>
    </row>
    <row r="41">
      <c r="A41" t="inlineStr">
        <is>
          <t>subject01</t>
        </is>
      </c>
      <c r="B41" t="n">
        <v>40</v>
      </c>
      <c r="C41" t="n">
        <v>195</v>
      </c>
      <c r="D41" t="n">
        <v>215</v>
      </c>
      <c r="E41" t="n">
        <v>1.4768</v>
      </c>
      <c r="F41" t="n">
        <v>88.61</v>
      </c>
      <c r="G41">
        <f>H41/60</f>
        <v/>
      </c>
      <c r="H41">
        <f>MEDIAN(I39,I40,I41,I42,I43)</f>
        <v/>
      </c>
      <c r="I41" t="n">
        <v>90</v>
      </c>
      <c r="J41">
        <f>H41-F41</f>
        <v/>
      </c>
      <c r="K41">
        <f>ABS(J41)</f>
        <v/>
      </c>
      <c r="L41">
        <f>K41/F41*100</f>
        <v/>
      </c>
    </row>
    <row r="42">
      <c r="A42" t="inlineStr">
        <is>
          <t>subject01</t>
        </is>
      </c>
      <c r="B42" t="n">
        <v>41</v>
      </c>
      <c r="C42" t="n">
        <v>200</v>
      </c>
      <c r="D42" t="n">
        <v>220</v>
      </c>
      <c r="E42" t="n">
        <v>1.4887</v>
      </c>
      <c r="F42" t="n">
        <v>89.31999999999999</v>
      </c>
      <c r="G42">
        <f>H42/60</f>
        <v/>
      </c>
      <c r="H42">
        <f>MEDIAN(I40,I41,I42,I43,I44)</f>
        <v/>
      </c>
      <c r="I42" t="n">
        <v>90</v>
      </c>
      <c r="J42">
        <f>H42-F42</f>
        <v/>
      </c>
      <c r="K42">
        <f>ABS(J42)</f>
        <v/>
      </c>
      <c r="L42">
        <f>K42/F42*100</f>
        <v/>
      </c>
    </row>
    <row r="43">
      <c r="A43" t="inlineStr">
        <is>
          <t>subject01</t>
        </is>
      </c>
      <c r="B43" t="n">
        <v>42</v>
      </c>
      <c r="C43" t="n">
        <v>205</v>
      </c>
      <c r="D43" t="n">
        <v>225</v>
      </c>
      <c r="E43" t="n">
        <v>1.483</v>
      </c>
      <c r="F43" t="n">
        <v>88.98</v>
      </c>
      <c r="G43">
        <f>H43/60</f>
        <v/>
      </c>
      <c r="H43">
        <f>MEDIAN(I41,I42,I43,I44,I45)</f>
        <v/>
      </c>
      <c r="I43" t="n">
        <v>90</v>
      </c>
      <c r="J43">
        <f>H43-F43</f>
        <v/>
      </c>
      <c r="K43">
        <f>ABS(J43)</f>
        <v/>
      </c>
      <c r="L43">
        <f>K43/F43*100</f>
        <v/>
      </c>
    </row>
    <row r="44">
      <c r="A44" t="inlineStr">
        <is>
          <t>subject01</t>
        </is>
      </c>
      <c r="B44" t="n">
        <v>43</v>
      </c>
      <c r="C44" t="n">
        <v>210</v>
      </c>
      <c r="D44" t="n">
        <v>230</v>
      </c>
      <c r="E44" t="n">
        <v>1.4977</v>
      </c>
      <c r="F44" t="n">
        <v>89.86</v>
      </c>
      <c r="G44">
        <f>H44/60</f>
        <v/>
      </c>
      <c r="H44">
        <f>MEDIAN(I42,I43,I44,I45,I46)</f>
        <v/>
      </c>
      <c r="I44" t="n">
        <v>90</v>
      </c>
      <c r="J44">
        <f>H44-F44</f>
        <v/>
      </c>
      <c r="K44">
        <f>ABS(J44)</f>
        <v/>
      </c>
      <c r="L44">
        <f>K44/F44*100</f>
        <v/>
      </c>
    </row>
    <row r="45">
      <c r="A45" t="inlineStr">
        <is>
          <t>subject01</t>
        </is>
      </c>
      <c r="B45" t="n">
        <v>44</v>
      </c>
      <c r="C45" t="n">
        <v>215</v>
      </c>
      <c r="D45" t="n">
        <v>235</v>
      </c>
      <c r="E45" t="n">
        <v>1.5016</v>
      </c>
      <c r="F45" t="n">
        <v>90.09999999999999</v>
      </c>
      <c r="G45">
        <f>H45/60</f>
        <v/>
      </c>
      <c r="H45">
        <f>MEDIAN(I43,I44,I45,I46,I47)</f>
        <v/>
      </c>
      <c r="I45" t="n">
        <v>60</v>
      </c>
      <c r="J45">
        <f>H45-F45</f>
        <v/>
      </c>
      <c r="K45">
        <f>ABS(J45)</f>
        <v/>
      </c>
      <c r="L45">
        <f>K45/F45*100</f>
        <v/>
      </c>
    </row>
    <row r="46">
      <c r="A46" t="inlineStr">
        <is>
          <t>subject01</t>
        </is>
      </c>
      <c r="B46" t="n">
        <v>45</v>
      </c>
      <c r="C46" t="n">
        <v>220</v>
      </c>
      <c r="D46" t="n">
        <v>240</v>
      </c>
      <c r="E46" t="n">
        <v>1.4987</v>
      </c>
      <c r="F46" t="n">
        <v>89.92</v>
      </c>
      <c r="G46">
        <f>H46/60</f>
        <v/>
      </c>
      <c r="H46">
        <f>MEDIAN(I44,I45,I46,I47,I48)</f>
        <v/>
      </c>
      <c r="I46" t="n">
        <v>90</v>
      </c>
      <c r="J46">
        <f>H46-F46</f>
        <v/>
      </c>
      <c r="K46">
        <f>ABS(J46)</f>
        <v/>
      </c>
      <c r="L46">
        <f>K46/F46*100</f>
        <v/>
      </c>
    </row>
    <row r="47">
      <c r="A47" t="inlineStr">
        <is>
          <t>subject01</t>
        </is>
      </c>
      <c r="B47" t="n">
        <v>46</v>
      </c>
      <c r="C47" t="n">
        <v>225</v>
      </c>
      <c r="D47" t="n">
        <v>245</v>
      </c>
      <c r="E47" t="n">
        <v>1.5077</v>
      </c>
      <c r="F47" t="n">
        <v>90.45999999999999</v>
      </c>
      <c r="G47">
        <f>H47/60</f>
        <v/>
      </c>
      <c r="H47">
        <f>MEDIAN(I45,I46,I47,I48,I49)</f>
        <v/>
      </c>
      <c r="I47" t="n">
        <v>90</v>
      </c>
      <c r="J47">
        <f>H47-F47</f>
        <v/>
      </c>
      <c r="K47">
        <f>ABS(J47)</f>
        <v/>
      </c>
      <c r="L47">
        <f>K47/F47*100</f>
        <v/>
      </c>
    </row>
    <row r="48">
      <c r="A48" t="inlineStr">
        <is>
          <t>subject01</t>
        </is>
      </c>
      <c r="B48" t="n">
        <v>47</v>
      </c>
      <c r="C48" t="n">
        <v>230</v>
      </c>
      <c r="D48" t="n">
        <v>250</v>
      </c>
      <c r="E48" t="n">
        <v>1.5124</v>
      </c>
      <c r="F48" t="n">
        <v>90.73999999999999</v>
      </c>
      <c r="G48">
        <f>H48/60</f>
        <v/>
      </c>
      <c r="H48">
        <f>MEDIAN(I46,I47,I48,I49,I50)</f>
        <v/>
      </c>
      <c r="I48" t="n">
        <v>90</v>
      </c>
      <c r="J48">
        <f>H48-F48</f>
        <v/>
      </c>
      <c r="K48">
        <f>ABS(J48)</f>
        <v/>
      </c>
      <c r="L48">
        <f>K48/F48*100</f>
        <v/>
      </c>
    </row>
    <row r="49">
      <c r="A49" t="inlineStr">
        <is>
          <t>subject01</t>
        </is>
      </c>
      <c r="B49" t="n">
        <v>48</v>
      </c>
      <c r="C49" t="n">
        <v>235</v>
      </c>
      <c r="D49" t="n">
        <v>255</v>
      </c>
      <c r="E49" t="n">
        <v>1.5263</v>
      </c>
      <c r="F49" t="n">
        <v>91.58</v>
      </c>
      <c r="G49">
        <f>H49/60</f>
        <v/>
      </c>
      <c r="H49">
        <f>MEDIAN(I47,I48,I49,I50,I51)</f>
        <v/>
      </c>
      <c r="I49" t="n">
        <v>69</v>
      </c>
      <c r="J49">
        <f>H49-F49</f>
        <v/>
      </c>
      <c r="K49">
        <f>ABS(J49)</f>
        <v/>
      </c>
      <c r="L49">
        <f>K49/F49*100</f>
        <v/>
      </c>
    </row>
    <row r="50">
      <c r="A50" t="inlineStr">
        <is>
          <t>subject01</t>
        </is>
      </c>
      <c r="B50" t="n">
        <v>49</v>
      </c>
      <c r="C50" t="n">
        <v>240</v>
      </c>
      <c r="D50" t="n">
        <v>260</v>
      </c>
      <c r="E50" t="n">
        <v>1.5451</v>
      </c>
      <c r="F50" t="n">
        <v>92.7</v>
      </c>
      <c r="G50">
        <f>H50/60</f>
        <v/>
      </c>
      <c r="H50">
        <f>MEDIAN(I48,I49,I50,I51,I52)</f>
        <v/>
      </c>
      <c r="I50" t="n">
        <v>93</v>
      </c>
      <c r="J50">
        <f>H50-F50</f>
        <v/>
      </c>
      <c r="K50">
        <f>ABS(J50)</f>
        <v/>
      </c>
      <c r="L50">
        <f>K50/F50*100</f>
        <v/>
      </c>
    </row>
    <row r="51">
      <c r="A51" t="inlineStr">
        <is>
          <t>subject01</t>
        </is>
      </c>
      <c r="B51" t="n">
        <v>50</v>
      </c>
      <c r="C51" t="n">
        <v>245</v>
      </c>
      <c r="D51" t="n">
        <v>265</v>
      </c>
      <c r="E51" t="n">
        <v>1.5612</v>
      </c>
      <c r="F51" t="n">
        <v>93.67</v>
      </c>
      <c r="G51">
        <f>H51/60</f>
        <v/>
      </c>
      <c r="H51">
        <f>MEDIAN(I49,I50,I51,I52,I53)</f>
        <v/>
      </c>
      <c r="I51" t="n">
        <v>93</v>
      </c>
      <c r="J51">
        <f>H51-F51</f>
        <v/>
      </c>
      <c r="K51">
        <f>ABS(J51)</f>
        <v/>
      </c>
      <c r="L51">
        <f>K51/F51*100</f>
        <v/>
      </c>
    </row>
    <row r="52">
      <c r="A52" t="inlineStr">
        <is>
          <t>subject01</t>
        </is>
      </c>
      <c r="B52" t="n">
        <v>51</v>
      </c>
      <c r="C52" t="n">
        <v>250</v>
      </c>
      <c r="D52" t="n">
        <v>270</v>
      </c>
      <c r="E52" t="n">
        <v>1.5602</v>
      </c>
      <c r="F52" t="n">
        <v>93.61</v>
      </c>
      <c r="G52">
        <f>H52/60</f>
        <v/>
      </c>
      <c r="H52">
        <f>MEDIAN(I50,I51,I52,I53,I54)</f>
        <v/>
      </c>
      <c r="I52" t="n">
        <v>96</v>
      </c>
      <c r="J52">
        <f>H52-F52</f>
        <v/>
      </c>
      <c r="K52">
        <f>ABS(J52)</f>
        <v/>
      </c>
      <c r="L52">
        <f>K52/F52*100</f>
        <v/>
      </c>
    </row>
    <row r="53">
      <c r="A53" t="inlineStr">
        <is>
          <t>subject01</t>
        </is>
      </c>
      <c r="B53" t="n">
        <v>52</v>
      </c>
      <c r="C53" t="n">
        <v>255</v>
      </c>
      <c r="D53" t="n">
        <v>275</v>
      </c>
      <c r="E53" t="n">
        <v>1.5694</v>
      </c>
      <c r="F53" t="n">
        <v>94.16</v>
      </c>
      <c r="G53">
        <f>H53/60</f>
        <v/>
      </c>
      <c r="H53">
        <f>MEDIAN(I51,I52,I53,I54,I55)</f>
        <v/>
      </c>
      <c r="I53" t="n">
        <v>93</v>
      </c>
      <c r="J53">
        <f>H53-F53</f>
        <v/>
      </c>
      <c r="K53">
        <f>ABS(J53)</f>
        <v/>
      </c>
      <c r="L53">
        <f>K53/F53*100</f>
        <v/>
      </c>
    </row>
    <row r="54">
      <c r="A54" t="inlineStr">
        <is>
          <t>subject01</t>
        </is>
      </c>
      <c r="B54" t="n">
        <v>53</v>
      </c>
      <c r="C54" t="n">
        <v>260</v>
      </c>
      <c r="D54" t="n">
        <v>280</v>
      </c>
      <c r="E54" t="n">
        <v>1.5739</v>
      </c>
      <c r="F54" t="n">
        <v>94.43000000000001</v>
      </c>
      <c r="G54">
        <f>H54/60</f>
        <v/>
      </c>
      <c r="H54">
        <f>MEDIAN(I52,I53,I54,I55,I56)</f>
        <v/>
      </c>
      <c r="I54" t="n">
        <v>93</v>
      </c>
      <c r="J54">
        <f>H54-F54</f>
        <v/>
      </c>
      <c r="K54">
        <f>ABS(J54)</f>
        <v/>
      </c>
      <c r="L54">
        <f>K54/F54*100</f>
        <v/>
      </c>
    </row>
    <row r="55">
      <c r="A55" t="inlineStr">
        <is>
          <t>subject01</t>
        </is>
      </c>
      <c r="B55" t="n">
        <v>54</v>
      </c>
      <c r="C55" t="n">
        <v>265</v>
      </c>
      <c r="D55" t="n">
        <v>285</v>
      </c>
      <c r="E55" t="n">
        <v>1.5592</v>
      </c>
      <c r="F55" t="n">
        <v>93.55</v>
      </c>
      <c r="G55">
        <f>H55/60</f>
        <v/>
      </c>
      <c r="H55">
        <f>MEDIAN(I53,I54,I55,I56,I57)</f>
        <v/>
      </c>
      <c r="I55" t="n">
        <v>75</v>
      </c>
      <c r="J55">
        <f>H55-F55</f>
        <v/>
      </c>
      <c r="K55">
        <f>ABS(J55)</f>
        <v/>
      </c>
      <c r="L55">
        <f>K55/F55*100</f>
        <v/>
      </c>
    </row>
    <row r="56">
      <c r="A56" t="inlineStr">
        <is>
          <t>subject01</t>
        </is>
      </c>
      <c r="B56" t="n">
        <v>55</v>
      </c>
      <c r="C56" t="n">
        <v>270</v>
      </c>
      <c r="D56" t="n">
        <v>290</v>
      </c>
      <c r="E56" t="n">
        <v>1.5823</v>
      </c>
      <c r="F56" t="n">
        <v>94.94</v>
      </c>
      <c r="G56">
        <f>H56/60</f>
        <v/>
      </c>
      <c r="H56">
        <f>MEDIAN(I54,I55,I56,I57,I58)</f>
        <v/>
      </c>
      <c r="I56" t="n">
        <v>93</v>
      </c>
      <c r="J56">
        <f>H56-F56</f>
        <v/>
      </c>
      <c r="K56">
        <f>ABS(J56)</f>
        <v/>
      </c>
      <c r="L56">
        <f>K56/F56*100</f>
        <v/>
      </c>
    </row>
    <row r="57">
      <c r="A57" t="inlineStr">
        <is>
          <t>subject01</t>
        </is>
      </c>
      <c r="B57" t="n">
        <v>56</v>
      </c>
      <c r="C57" t="n">
        <v>275</v>
      </c>
      <c r="D57" t="n">
        <v>295</v>
      </c>
      <c r="E57" t="n">
        <v>1.5791</v>
      </c>
      <c r="F57" t="n">
        <v>94.73999999999999</v>
      </c>
      <c r="G57">
        <f>H57/60</f>
        <v/>
      </c>
      <c r="H57">
        <f>MEDIAN(I55,I56,I57,I58,I59)</f>
        <v/>
      </c>
      <c r="I57" t="n">
        <v>93</v>
      </c>
      <c r="J57">
        <f>H57-F57</f>
        <v/>
      </c>
      <c r="K57">
        <f>ABS(J57)</f>
        <v/>
      </c>
      <c r="L57">
        <f>K57/F57*100</f>
        <v/>
      </c>
    </row>
    <row r="58">
      <c r="A58" t="inlineStr">
        <is>
          <t>subject01</t>
        </is>
      </c>
      <c r="B58" t="n">
        <v>57</v>
      </c>
      <c r="C58" t="n">
        <v>280</v>
      </c>
      <c r="D58" t="n">
        <v>300</v>
      </c>
      <c r="E58" t="n">
        <v>1.562</v>
      </c>
      <c r="F58" t="n">
        <v>93.72</v>
      </c>
      <c r="G58">
        <f>H58/60</f>
        <v/>
      </c>
      <c r="H58">
        <f>MEDIAN(I56,I57,I58,I59,I60)</f>
        <v/>
      </c>
      <c r="I58" t="n">
        <v>96</v>
      </c>
      <c r="J58">
        <f>H58-F58</f>
        <v/>
      </c>
      <c r="K58">
        <f>ABS(J58)</f>
        <v/>
      </c>
      <c r="L58">
        <f>K58/F58*100</f>
        <v/>
      </c>
    </row>
    <row r="59">
      <c r="A59" t="inlineStr">
        <is>
          <t>subject01</t>
        </is>
      </c>
      <c r="B59" t="n">
        <v>58</v>
      </c>
      <c r="C59" t="n">
        <v>285</v>
      </c>
      <c r="D59" t="n">
        <v>305</v>
      </c>
      <c r="E59" t="n">
        <v>1.557</v>
      </c>
      <c r="F59" t="n">
        <v>93.42</v>
      </c>
      <c r="G59">
        <f>H59/60</f>
        <v/>
      </c>
      <c r="H59">
        <f>MEDIAN(I57,I58,I59,I60,I61)</f>
        <v/>
      </c>
      <c r="I59" t="n">
        <v>93</v>
      </c>
      <c r="J59">
        <f>H59-F59</f>
        <v/>
      </c>
      <c r="K59">
        <f>ABS(J59)</f>
        <v/>
      </c>
      <c r="L59">
        <f>K59/F59*100</f>
        <v/>
      </c>
    </row>
    <row r="60">
      <c r="A60" t="inlineStr">
        <is>
          <t>subject01</t>
        </is>
      </c>
      <c r="B60" t="n">
        <v>59</v>
      </c>
      <c r="C60" t="n">
        <v>290</v>
      </c>
      <c r="D60" t="n">
        <v>310</v>
      </c>
      <c r="E60" t="n">
        <v>1.5348</v>
      </c>
      <c r="F60" t="n">
        <v>92.09</v>
      </c>
      <c r="G60">
        <f>H60/60</f>
        <v/>
      </c>
      <c r="H60">
        <f>MEDIAN(I58,I59,I60,I61,I62)</f>
        <v/>
      </c>
      <c r="I60" t="n">
        <v>93</v>
      </c>
      <c r="J60">
        <f>H60-F60</f>
        <v/>
      </c>
      <c r="K60">
        <f>ABS(J60)</f>
        <v/>
      </c>
      <c r="L60">
        <f>K60/F60*100</f>
        <v/>
      </c>
    </row>
    <row r="61">
      <c r="A61" t="inlineStr">
        <is>
          <t>subject01</t>
        </is>
      </c>
      <c r="B61" t="n">
        <v>60</v>
      </c>
      <c r="C61" t="n">
        <v>295</v>
      </c>
      <c r="D61" t="n">
        <v>315</v>
      </c>
      <c r="E61" t="n">
        <v>1.5133</v>
      </c>
      <c r="F61" t="n">
        <v>90.8</v>
      </c>
      <c r="G61">
        <f>H61/60</f>
        <v/>
      </c>
      <c r="H61">
        <f>MEDIAN(I59,I60,I61,I62,I63)</f>
        <v/>
      </c>
      <c r="I61" t="n">
        <v>93</v>
      </c>
      <c r="J61">
        <f>H61-F61</f>
        <v/>
      </c>
      <c r="K61">
        <f>ABS(J61)</f>
        <v/>
      </c>
      <c r="L61">
        <f>K61/F61*100</f>
        <v/>
      </c>
    </row>
    <row r="62">
      <c r="A62" t="inlineStr">
        <is>
          <t>subject01</t>
        </is>
      </c>
      <c r="B62" t="n">
        <v>61</v>
      </c>
      <c r="C62" t="n">
        <v>300</v>
      </c>
      <c r="D62" t="n">
        <v>320</v>
      </c>
      <c r="E62" t="n">
        <v>1.4875</v>
      </c>
      <c r="F62" t="n">
        <v>89.25</v>
      </c>
      <c r="G62">
        <f>H62/60</f>
        <v/>
      </c>
      <c r="H62">
        <f>MEDIAN(I60,I61,I62,I63,I64)</f>
        <v/>
      </c>
      <c r="I62" t="n">
        <v>90</v>
      </c>
      <c r="J62">
        <f>H62-F62</f>
        <v/>
      </c>
      <c r="K62">
        <f>ABS(J62)</f>
        <v/>
      </c>
      <c r="L62">
        <f>K62/F62*100</f>
        <v/>
      </c>
    </row>
    <row r="63">
      <c r="A63" t="inlineStr">
        <is>
          <t>subject01</t>
        </is>
      </c>
      <c r="B63" t="n">
        <v>62</v>
      </c>
      <c r="C63" t="n">
        <v>305</v>
      </c>
      <c r="D63" t="n">
        <v>325</v>
      </c>
      <c r="E63" t="n">
        <v>1.4788</v>
      </c>
      <c r="F63" t="n">
        <v>88.73</v>
      </c>
      <c r="G63">
        <f>H63/60</f>
        <v/>
      </c>
      <c r="H63">
        <f>MEDIAN(I61,I62,I63,I64,I65)</f>
        <v/>
      </c>
      <c r="I63" t="n">
        <v>87</v>
      </c>
      <c r="J63">
        <f>H63-F63</f>
        <v/>
      </c>
      <c r="K63">
        <f>ABS(J63)</f>
        <v/>
      </c>
      <c r="L63">
        <f>K63/F63*100</f>
        <v/>
      </c>
    </row>
    <row r="64">
      <c r="A64" t="inlineStr">
        <is>
          <t>subject01</t>
        </is>
      </c>
      <c r="B64" t="n">
        <v>63</v>
      </c>
      <c r="C64" t="n">
        <v>310</v>
      </c>
      <c r="D64" t="n">
        <v>330</v>
      </c>
      <c r="E64" t="n">
        <v>1.4723</v>
      </c>
      <c r="F64" t="n">
        <v>88.34</v>
      </c>
      <c r="G64">
        <f>H64/60</f>
        <v/>
      </c>
      <c r="H64">
        <f>MEDIAN(I62,I63,I64,I65,I66)</f>
        <v/>
      </c>
      <c r="I64" t="n">
        <v>87</v>
      </c>
      <c r="J64">
        <f>H64-F64</f>
        <v/>
      </c>
      <c r="K64">
        <f>ABS(J64)</f>
        <v/>
      </c>
      <c r="L64">
        <f>K64/F64*100</f>
        <v/>
      </c>
    </row>
    <row r="65">
      <c r="A65" t="inlineStr">
        <is>
          <t>subject01</t>
        </is>
      </c>
      <c r="B65" t="n">
        <v>64</v>
      </c>
      <c r="C65" t="n">
        <v>315</v>
      </c>
      <c r="D65" t="n">
        <v>335</v>
      </c>
      <c r="E65" t="n">
        <v>1.4644</v>
      </c>
      <c r="F65" t="n">
        <v>87.86</v>
      </c>
      <c r="G65">
        <f>H65/60</f>
        <v/>
      </c>
      <c r="H65">
        <f>MEDIAN(I63,I64,I65,I66,I67)</f>
        <v/>
      </c>
      <c r="I65" t="n">
        <v>87</v>
      </c>
      <c r="J65">
        <f>H65-F65</f>
        <v/>
      </c>
      <c r="K65">
        <f>ABS(J65)</f>
        <v/>
      </c>
      <c r="L65">
        <f>K65/F65*100</f>
        <v/>
      </c>
    </row>
    <row r="66">
      <c r="A66" t="inlineStr">
        <is>
          <t>subject01</t>
        </is>
      </c>
      <c r="B66" t="n">
        <v>65</v>
      </c>
      <c r="C66" t="n">
        <v>320</v>
      </c>
      <c r="D66" t="n">
        <v>340</v>
      </c>
      <c r="E66" t="n">
        <v>1.4804</v>
      </c>
      <c r="F66" t="n">
        <v>88.81999999999999</v>
      </c>
      <c r="G66">
        <f>H66/60</f>
        <v/>
      </c>
      <c r="H66">
        <f>MEDIAN(I64,I65,I66,I67,I68)</f>
        <v/>
      </c>
      <c r="I66" t="n">
        <v>90</v>
      </c>
      <c r="J66">
        <f>H66-F66</f>
        <v/>
      </c>
      <c r="K66">
        <f>ABS(J66)</f>
        <v/>
      </c>
      <c r="L66">
        <f>K66/F66*100</f>
        <v/>
      </c>
    </row>
    <row r="67">
      <c r="A67" t="inlineStr">
        <is>
          <t>subject01</t>
        </is>
      </c>
      <c r="B67" t="n">
        <v>66</v>
      </c>
      <c r="C67" t="n">
        <v>325</v>
      </c>
      <c r="D67" t="n">
        <v>345</v>
      </c>
      <c r="E67" t="n">
        <v>1.462</v>
      </c>
      <c r="F67" t="n">
        <v>87.72</v>
      </c>
      <c r="G67">
        <f>H67/60</f>
        <v/>
      </c>
      <c r="H67">
        <f>MEDIAN(I65,I66,I67,I68,I69)</f>
        <v/>
      </c>
      <c r="I67" t="n">
        <v>90</v>
      </c>
      <c r="J67">
        <f>H67-F67</f>
        <v/>
      </c>
      <c r="K67">
        <f>ABS(J67)</f>
        <v/>
      </c>
      <c r="L67">
        <f>K67/F67*100</f>
        <v/>
      </c>
    </row>
    <row r="68">
      <c r="A68" t="inlineStr">
        <is>
          <t>subject01</t>
        </is>
      </c>
      <c r="B68" t="n">
        <v>67</v>
      </c>
      <c r="C68" t="n">
        <v>330</v>
      </c>
      <c r="D68" t="n">
        <v>350</v>
      </c>
      <c r="E68" t="n">
        <v>1.4521</v>
      </c>
      <c r="F68" t="n">
        <v>87.12</v>
      </c>
      <c r="G68">
        <f>H68/60</f>
        <v/>
      </c>
      <c r="H68">
        <f>MEDIAN(I66,I67,I68,I69,I70)</f>
        <v/>
      </c>
      <c r="I68" t="n">
        <v>87</v>
      </c>
      <c r="J68">
        <f>H68-F68</f>
        <v/>
      </c>
      <c r="K68">
        <f>ABS(J68)</f>
        <v/>
      </c>
      <c r="L68">
        <f>K68/F68*100</f>
        <v/>
      </c>
    </row>
    <row r="69">
      <c r="A69" t="inlineStr">
        <is>
          <t>subject01</t>
        </is>
      </c>
      <c r="B69" t="n">
        <v>68</v>
      </c>
      <c r="C69" t="n">
        <v>335</v>
      </c>
      <c r="D69" t="n">
        <v>355</v>
      </c>
      <c r="E69" t="n">
        <v>1.4378</v>
      </c>
      <c r="F69" t="n">
        <v>86.27</v>
      </c>
      <c r="G69">
        <f>H69/60</f>
        <v/>
      </c>
      <c r="H69">
        <f>MEDIAN(I67,I68,I69,I70,I71)</f>
        <v/>
      </c>
      <c r="I69" t="n">
        <v>66</v>
      </c>
      <c r="J69">
        <f>H69-F69</f>
        <v/>
      </c>
      <c r="K69">
        <f>ABS(J69)</f>
        <v/>
      </c>
      <c r="L69">
        <f>K69/F69*100</f>
        <v/>
      </c>
    </row>
    <row r="70">
      <c r="A70" t="inlineStr">
        <is>
          <t>subject01</t>
        </is>
      </c>
      <c r="B70" t="n">
        <v>69</v>
      </c>
      <c r="C70" t="n">
        <v>340</v>
      </c>
      <c r="D70" t="n">
        <v>360</v>
      </c>
      <c r="E70" t="n">
        <v>1.4247</v>
      </c>
      <c r="F70" t="n">
        <v>85.48</v>
      </c>
      <c r="G70">
        <f>H70/60</f>
        <v/>
      </c>
      <c r="H70">
        <f>MEDIAN(I68,I69,I70,I71,I72)</f>
        <v/>
      </c>
      <c r="I70" t="n">
        <v>87</v>
      </c>
      <c r="J70">
        <f>H70-F70</f>
        <v/>
      </c>
      <c r="K70">
        <f>ABS(J70)</f>
        <v/>
      </c>
      <c r="L70">
        <f>K70/F70*100</f>
        <v/>
      </c>
    </row>
    <row r="71">
      <c r="A71" t="inlineStr">
        <is>
          <t>subject01</t>
        </is>
      </c>
      <c r="B71" t="n">
        <v>70</v>
      </c>
      <c r="C71" t="n">
        <v>345</v>
      </c>
      <c r="D71" t="n">
        <v>365</v>
      </c>
      <c r="E71" t="n">
        <v>1.4104</v>
      </c>
      <c r="F71" t="n">
        <v>84.63</v>
      </c>
      <c r="G71">
        <f>H71/60</f>
        <v/>
      </c>
      <c r="H71">
        <f>MEDIAN(I69,I70,I71,I72,I73)</f>
        <v/>
      </c>
      <c r="I71" t="n">
        <v>84</v>
      </c>
      <c r="J71">
        <f>H71-F71</f>
        <v/>
      </c>
      <c r="K71">
        <f>ABS(J71)</f>
        <v/>
      </c>
      <c r="L71">
        <f>K71/F71*100</f>
        <v/>
      </c>
    </row>
    <row r="72">
      <c r="A72" t="inlineStr">
        <is>
          <t>subject01</t>
        </is>
      </c>
      <c r="B72" t="n">
        <v>71</v>
      </c>
      <c r="C72" t="n">
        <v>350</v>
      </c>
      <c r="D72" t="n">
        <v>370</v>
      </c>
      <c r="E72" t="n">
        <v>1.3906</v>
      </c>
      <c r="F72" t="n">
        <v>83.44</v>
      </c>
      <c r="G72">
        <f>H72/60</f>
        <v/>
      </c>
      <c r="H72">
        <f>MEDIAN(I70,I71,I72,I73,I74)</f>
        <v/>
      </c>
      <c r="I72" t="n">
        <v>57</v>
      </c>
      <c r="J72">
        <f>H72-F72</f>
        <v/>
      </c>
      <c r="K72">
        <f>ABS(J72)</f>
        <v/>
      </c>
      <c r="L72">
        <f>K72/F72*100</f>
        <v/>
      </c>
    </row>
    <row r="73">
      <c r="A73" t="inlineStr">
        <is>
          <t>subject01</t>
        </is>
      </c>
      <c r="B73" t="n">
        <v>72</v>
      </c>
      <c r="C73" t="n">
        <v>355</v>
      </c>
      <c r="D73" t="n">
        <v>375</v>
      </c>
      <c r="E73" t="n">
        <v>1.3999</v>
      </c>
      <c r="F73" t="n">
        <v>83.98999999999999</v>
      </c>
      <c r="G73">
        <f>H73/60</f>
        <v/>
      </c>
      <c r="H73">
        <f>MEDIAN(I71,I72,I73,I74,I75)</f>
        <v/>
      </c>
      <c r="I73" t="n">
        <v>60</v>
      </c>
      <c r="J73">
        <f>H73-F73</f>
        <v/>
      </c>
      <c r="K73">
        <f>ABS(J73)</f>
        <v/>
      </c>
      <c r="L73">
        <f>K73/F73*100</f>
        <v/>
      </c>
    </row>
    <row r="74">
      <c r="A74" t="inlineStr">
        <is>
          <t>subject01</t>
        </is>
      </c>
      <c r="B74" t="n">
        <v>73</v>
      </c>
      <c r="C74" t="n">
        <v>360</v>
      </c>
      <c r="D74" t="n">
        <v>380</v>
      </c>
      <c r="E74" t="n">
        <v>1.3906</v>
      </c>
      <c r="F74" t="n">
        <v>83.43000000000001</v>
      </c>
      <c r="G74">
        <f>H74/60</f>
        <v/>
      </c>
      <c r="H74">
        <f>MEDIAN(I72,I73,I74,I75,I76)</f>
        <v/>
      </c>
      <c r="I74" t="n">
        <v>84</v>
      </c>
      <c r="J74">
        <f>H74-F74</f>
        <v/>
      </c>
      <c r="K74">
        <f>ABS(J74)</f>
        <v/>
      </c>
      <c r="L74">
        <f>K74/F74*100</f>
        <v/>
      </c>
    </row>
    <row r="75">
      <c r="A75" t="inlineStr">
        <is>
          <t>subject01</t>
        </is>
      </c>
      <c r="B75" t="n">
        <v>74</v>
      </c>
      <c r="C75" t="n">
        <v>365</v>
      </c>
      <c r="D75" t="n">
        <v>385</v>
      </c>
      <c r="E75" t="n">
        <v>1.3943</v>
      </c>
      <c r="F75" t="n">
        <v>83.66</v>
      </c>
      <c r="G75">
        <f>H75/60</f>
        <v/>
      </c>
      <c r="H75">
        <f>MEDIAN(I73,I74,I75,I76,I77)</f>
        <v/>
      </c>
      <c r="I75" t="n">
        <v>84</v>
      </c>
      <c r="J75">
        <f>H75-F75</f>
        <v/>
      </c>
      <c r="K75">
        <f>ABS(J75)</f>
        <v/>
      </c>
      <c r="L75">
        <f>K75/F75*100</f>
        <v/>
      </c>
    </row>
    <row r="76">
      <c r="A76" t="inlineStr">
        <is>
          <t>subject01</t>
        </is>
      </c>
      <c r="B76" t="n">
        <v>75</v>
      </c>
      <c r="C76" t="n">
        <v>370</v>
      </c>
      <c r="D76" t="n">
        <v>390</v>
      </c>
      <c r="E76" t="n">
        <v>1.4011</v>
      </c>
      <c r="F76" t="n">
        <v>84.06999999999999</v>
      </c>
      <c r="G76">
        <f>H76/60</f>
        <v/>
      </c>
      <c r="H76">
        <f>MEDIAN(I74,I75,I76,I77,I78)</f>
        <v/>
      </c>
      <c r="I76" t="n">
        <v>84</v>
      </c>
      <c r="J76">
        <f>H76-F76</f>
        <v/>
      </c>
      <c r="K76">
        <f>ABS(J76)</f>
        <v/>
      </c>
      <c r="L76">
        <f>K76/F76*100</f>
        <v/>
      </c>
    </row>
    <row r="77">
      <c r="A77" t="inlineStr">
        <is>
          <t>subject01</t>
        </is>
      </c>
      <c r="B77" t="n">
        <v>76</v>
      </c>
      <c r="C77" t="n">
        <v>375</v>
      </c>
      <c r="D77" t="n">
        <v>395</v>
      </c>
      <c r="E77" t="n">
        <v>1.3917</v>
      </c>
      <c r="F77" t="n">
        <v>83.5</v>
      </c>
      <c r="G77">
        <f>H77/60</f>
        <v/>
      </c>
      <c r="H77">
        <f>MEDIAN(I75,I76,I77,I78,I79)</f>
        <v/>
      </c>
      <c r="I77" t="n">
        <v>84</v>
      </c>
      <c r="J77">
        <f>H77-F77</f>
        <v/>
      </c>
      <c r="K77">
        <f>ABS(J77)</f>
        <v/>
      </c>
      <c r="L77">
        <f>K77/F77*100</f>
        <v/>
      </c>
    </row>
    <row r="78">
      <c r="A78" t="inlineStr">
        <is>
          <t>subject01</t>
        </is>
      </c>
      <c r="B78" t="n">
        <v>77</v>
      </c>
      <c r="C78" t="n">
        <v>380</v>
      </c>
      <c r="D78" t="n">
        <v>400</v>
      </c>
      <c r="E78" t="n">
        <v>1.4213</v>
      </c>
      <c r="F78" t="n">
        <v>85.28</v>
      </c>
      <c r="G78">
        <f>H78/60</f>
        <v/>
      </c>
      <c r="H78">
        <f>MEDIAN(I76,I77,I78,I79,I80)</f>
        <v/>
      </c>
      <c r="I78" t="n">
        <v>84</v>
      </c>
      <c r="J78">
        <f>H78-F78</f>
        <v/>
      </c>
      <c r="K78">
        <f>ABS(J78)</f>
        <v/>
      </c>
      <c r="L78">
        <f>K78/F78*100</f>
        <v/>
      </c>
    </row>
    <row r="79">
      <c r="A79" t="inlineStr">
        <is>
          <t>subject01</t>
        </is>
      </c>
      <c r="B79" t="n">
        <v>78</v>
      </c>
      <c r="C79" t="n">
        <v>385</v>
      </c>
      <c r="D79" t="n">
        <v>405</v>
      </c>
      <c r="E79" t="n">
        <v>1.454</v>
      </c>
      <c r="F79" t="n">
        <v>87.23999999999999</v>
      </c>
      <c r="G79">
        <f>H79/60</f>
        <v/>
      </c>
      <c r="H79">
        <f>MEDIAN(I77,I78,I79,I80,I81)</f>
        <v/>
      </c>
      <c r="I79" t="n">
        <v>102</v>
      </c>
      <c r="J79">
        <f>H79-F79</f>
        <v/>
      </c>
      <c r="K79">
        <f>ABS(J79)</f>
        <v/>
      </c>
      <c r="L79">
        <f>K79/F79*100</f>
        <v/>
      </c>
    </row>
    <row r="80">
      <c r="A80" t="inlineStr">
        <is>
          <t>subject01</t>
        </is>
      </c>
      <c r="B80" t="n">
        <v>79</v>
      </c>
      <c r="C80" t="n">
        <v>390</v>
      </c>
      <c r="D80" t="n">
        <v>410</v>
      </c>
      <c r="E80" t="n">
        <v>1.4675</v>
      </c>
      <c r="F80" t="n">
        <v>88.05</v>
      </c>
      <c r="G80">
        <f>H80/60</f>
        <v/>
      </c>
      <c r="H80">
        <f>MEDIAN(I78,I79,I80,I81,I82)</f>
        <v/>
      </c>
      <c r="I80" t="n">
        <v>75</v>
      </c>
      <c r="J80">
        <f>H80-F80</f>
        <v/>
      </c>
      <c r="K80">
        <f>ABS(J80)</f>
        <v/>
      </c>
      <c r="L80">
        <f>K80/F80*100</f>
        <v/>
      </c>
    </row>
    <row r="81">
      <c r="A81" t="inlineStr">
        <is>
          <t>subject01</t>
        </is>
      </c>
      <c r="B81" t="n">
        <v>80</v>
      </c>
      <c r="C81" t="n">
        <v>395</v>
      </c>
      <c r="D81" t="n">
        <v>415</v>
      </c>
      <c r="E81" t="n">
        <v>1.4896</v>
      </c>
      <c r="F81" t="n">
        <v>89.37</v>
      </c>
      <c r="G81">
        <f>H81/60</f>
        <v/>
      </c>
      <c r="H81">
        <f>MEDIAN(I79,I80,I81,I82,I83)</f>
        <v/>
      </c>
      <c r="I81" t="n">
        <v>63</v>
      </c>
      <c r="J81">
        <f>H81-F81</f>
        <v/>
      </c>
      <c r="K81">
        <f>ABS(J81)</f>
        <v/>
      </c>
      <c r="L81">
        <f>K81/F81*100</f>
        <v/>
      </c>
    </row>
    <row r="82">
      <c r="A82" t="inlineStr">
        <is>
          <t>subject01</t>
        </is>
      </c>
      <c r="B82" t="n">
        <v>81</v>
      </c>
      <c r="C82" t="n">
        <v>400</v>
      </c>
      <c r="D82" t="n">
        <v>420</v>
      </c>
      <c r="E82" t="n">
        <v>1.483</v>
      </c>
      <c r="F82" t="n">
        <v>88.98</v>
      </c>
      <c r="G82">
        <f>H82/60</f>
        <v/>
      </c>
      <c r="H82">
        <f>MEDIAN(I80,I81,I82,I83,0)</f>
        <v/>
      </c>
      <c r="I82" t="n">
        <v>63</v>
      </c>
      <c r="J82">
        <f>H82-F82</f>
        <v/>
      </c>
      <c r="K82">
        <f>ABS(J82)</f>
        <v/>
      </c>
      <c r="L82">
        <f>K82/F82*100</f>
        <v/>
      </c>
    </row>
    <row r="83">
      <c r="A83" t="inlineStr">
        <is>
          <t>subject01</t>
        </is>
      </c>
      <c r="B83" t="n">
        <v>82</v>
      </c>
      <c r="C83" t="n">
        <v>405</v>
      </c>
      <c r="D83" t="n">
        <v>425</v>
      </c>
      <c r="E83" t="n">
        <v>1.4767</v>
      </c>
      <c r="F83" t="n">
        <v>88.59999999999999</v>
      </c>
      <c r="G83">
        <f>H83/60</f>
        <v/>
      </c>
      <c r="H83">
        <f>MEDIAN(I81,I82,I83,0,0)</f>
        <v/>
      </c>
      <c r="I83" t="n">
        <v>66</v>
      </c>
      <c r="J83">
        <f>H83-F83</f>
        <v/>
      </c>
      <c r="K83">
        <f>ABS(J83)</f>
        <v/>
      </c>
      <c r="L83">
        <f>K83/F83*100</f>
        <v/>
      </c>
    </row>
    <row r="84">
      <c r="A84" t="inlineStr">
        <is>
          <t>subject02</t>
        </is>
      </c>
      <c r="B84" t="n">
        <v>1</v>
      </c>
      <c r="C84" t="n">
        <v>0</v>
      </c>
      <c r="D84" t="n">
        <v>20</v>
      </c>
      <c r="E84" t="n">
        <v>1.3567</v>
      </c>
      <c r="F84" t="n">
        <v>81.40000000000001</v>
      </c>
      <c r="G84">
        <f>H84/60</f>
        <v/>
      </c>
      <c r="H84">
        <f>MEDIAN(0,0,I84,I85,I86)</f>
        <v/>
      </c>
      <c r="I84" t="n">
        <v>87</v>
      </c>
      <c r="J84">
        <f>H84-F84</f>
        <v/>
      </c>
      <c r="K84">
        <f>ABS(J84)</f>
        <v/>
      </c>
      <c r="L84">
        <f>K84/F84*100</f>
        <v/>
      </c>
    </row>
    <row r="85">
      <c r="A85" t="inlineStr">
        <is>
          <t>subject02</t>
        </is>
      </c>
      <c r="B85" t="n">
        <v>2</v>
      </c>
      <c r="C85" t="n">
        <v>5</v>
      </c>
      <c r="D85" t="n">
        <v>25</v>
      </c>
      <c r="E85" t="n">
        <v>1.2876</v>
      </c>
      <c r="F85" t="n">
        <v>77.25</v>
      </c>
      <c r="G85">
        <f>H85/60</f>
        <v/>
      </c>
      <c r="H85">
        <f>MEDIAN(0,I84,I85,I86,I87)</f>
        <v/>
      </c>
      <c r="I85" t="n">
        <v>75</v>
      </c>
      <c r="J85">
        <f>H85-F85</f>
        <v/>
      </c>
      <c r="K85">
        <f>ABS(J85)</f>
        <v/>
      </c>
      <c r="L85">
        <f>K85/F85*100</f>
        <v/>
      </c>
    </row>
    <row r="86">
      <c r="A86" t="inlineStr">
        <is>
          <t>subject02</t>
        </is>
      </c>
      <c r="B86" t="n">
        <v>3</v>
      </c>
      <c r="C86" t="n">
        <v>10</v>
      </c>
      <c r="D86" t="n">
        <v>30</v>
      </c>
      <c r="E86" t="n">
        <v>1.2489</v>
      </c>
      <c r="F86" t="n">
        <v>74.94</v>
      </c>
      <c r="G86">
        <f>H86/60</f>
        <v/>
      </c>
      <c r="H86">
        <f>MEDIAN(I84,I85,I86,I87,I88)</f>
        <v/>
      </c>
      <c r="I86" t="n">
        <v>87</v>
      </c>
      <c r="J86">
        <f>H86-F86</f>
        <v/>
      </c>
      <c r="K86">
        <f>ABS(J86)</f>
        <v/>
      </c>
      <c r="L86">
        <f>K86/F86*100</f>
        <v/>
      </c>
    </row>
    <row r="87">
      <c r="A87" t="inlineStr">
        <is>
          <t>subject02</t>
        </is>
      </c>
      <c r="B87" t="n">
        <v>4</v>
      </c>
      <c r="C87" t="n">
        <v>15</v>
      </c>
      <c r="D87" t="n">
        <v>35</v>
      </c>
      <c r="E87" t="n">
        <v>1.2365</v>
      </c>
      <c r="F87" t="n">
        <v>74.19</v>
      </c>
      <c r="G87">
        <f>H87/60</f>
        <v/>
      </c>
      <c r="H87">
        <f>MEDIAN(I85,I86,I87,I88,I89)</f>
        <v/>
      </c>
      <c r="I87" t="n">
        <v>72</v>
      </c>
      <c r="J87">
        <f>H87-F87</f>
        <v/>
      </c>
      <c r="K87">
        <f>ABS(J87)</f>
        <v/>
      </c>
      <c r="L87">
        <f>K87/F87*100</f>
        <v/>
      </c>
    </row>
    <row r="88">
      <c r="A88" t="inlineStr">
        <is>
          <t>subject02</t>
        </is>
      </c>
      <c r="B88" t="n">
        <v>5</v>
      </c>
      <c r="C88" t="n">
        <v>20</v>
      </c>
      <c r="D88" t="n">
        <v>40</v>
      </c>
      <c r="E88" t="n">
        <v>1.198</v>
      </c>
      <c r="F88" t="n">
        <v>71.88</v>
      </c>
      <c r="G88">
        <f>H88/60</f>
        <v/>
      </c>
      <c r="H88">
        <f>MEDIAN(I86,I87,I88,I89,I90)</f>
        <v/>
      </c>
      <c r="I88" t="n">
        <v>72</v>
      </c>
      <c r="J88">
        <f>H88-F88</f>
        <v/>
      </c>
      <c r="K88">
        <f>ABS(J88)</f>
        <v/>
      </c>
      <c r="L88">
        <f>K88/F88*100</f>
        <v/>
      </c>
    </row>
    <row r="89">
      <c r="A89" t="inlineStr">
        <is>
          <t>subject02</t>
        </is>
      </c>
      <c r="B89" t="n">
        <v>6</v>
      </c>
      <c r="C89" t="n">
        <v>25</v>
      </c>
      <c r="D89" t="n">
        <v>45</v>
      </c>
      <c r="E89" t="n">
        <v>1.1879</v>
      </c>
      <c r="F89" t="n">
        <v>71.28</v>
      </c>
      <c r="G89">
        <f>H89/60</f>
        <v/>
      </c>
      <c r="H89">
        <f>MEDIAN(I87,I88,I89,I90,I91)</f>
        <v/>
      </c>
      <c r="I89" t="n">
        <v>72</v>
      </c>
      <c r="J89">
        <f>H89-F89</f>
        <v/>
      </c>
      <c r="K89">
        <f>ABS(J89)</f>
        <v/>
      </c>
      <c r="L89">
        <f>K89/F89*100</f>
        <v/>
      </c>
    </row>
    <row r="90">
      <c r="A90" t="inlineStr">
        <is>
          <t>subject02</t>
        </is>
      </c>
      <c r="B90" t="n">
        <v>7</v>
      </c>
      <c r="C90" t="n">
        <v>30</v>
      </c>
      <c r="D90" t="n">
        <v>50</v>
      </c>
      <c r="E90" t="n">
        <v>1.1738</v>
      </c>
      <c r="F90" t="n">
        <v>70.43000000000001</v>
      </c>
      <c r="G90">
        <f>H90/60</f>
        <v/>
      </c>
      <c r="H90">
        <f>MEDIAN(I88,I89,I90,I91,I92)</f>
        <v/>
      </c>
      <c r="I90" t="n">
        <v>69</v>
      </c>
      <c r="J90">
        <f>H90-F90</f>
        <v/>
      </c>
      <c r="K90">
        <f>ABS(J90)</f>
        <v/>
      </c>
      <c r="L90">
        <f>K90/F90*100</f>
        <v/>
      </c>
    </row>
    <row r="91">
      <c r="A91" t="inlineStr">
        <is>
          <t>subject02</t>
        </is>
      </c>
      <c r="B91" t="n">
        <v>8</v>
      </c>
      <c r="C91" t="n">
        <v>35</v>
      </c>
      <c r="D91" t="n">
        <v>55</v>
      </c>
      <c r="E91" t="n">
        <v>1.1734</v>
      </c>
      <c r="F91" t="n">
        <v>70.40000000000001</v>
      </c>
      <c r="G91">
        <f>H91/60</f>
        <v/>
      </c>
      <c r="H91">
        <f>MEDIAN(I89,I90,I91,I92,I93)</f>
        <v/>
      </c>
      <c r="I91" t="n">
        <v>69</v>
      </c>
      <c r="J91">
        <f>H91-F91</f>
        <v/>
      </c>
      <c r="K91">
        <f>ABS(J91)</f>
        <v/>
      </c>
      <c r="L91">
        <f>K91/F91*100</f>
        <v/>
      </c>
    </row>
    <row r="92">
      <c r="A92" t="inlineStr">
        <is>
          <t>subject02</t>
        </is>
      </c>
      <c r="B92" t="n">
        <v>9</v>
      </c>
      <c r="C92" t="n">
        <v>40</v>
      </c>
      <c r="D92" t="n">
        <v>60</v>
      </c>
      <c r="E92" t="n">
        <v>1.183</v>
      </c>
      <c r="F92" t="n">
        <v>70.98</v>
      </c>
      <c r="G92">
        <f>H92/60</f>
        <v/>
      </c>
      <c r="H92">
        <f>MEDIAN(I90,I91,I92,I93,I94)</f>
        <v/>
      </c>
      <c r="I92" t="n">
        <v>69</v>
      </c>
      <c r="J92">
        <f>H92-F92</f>
        <v/>
      </c>
      <c r="K92">
        <f>ABS(J92)</f>
        <v/>
      </c>
      <c r="L92">
        <f>K92/F92*100</f>
        <v/>
      </c>
    </row>
    <row r="93">
      <c r="A93" t="inlineStr">
        <is>
          <t>subject02</t>
        </is>
      </c>
      <c r="B93" t="n">
        <v>10</v>
      </c>
      <c r="C93" t="n">
        <v>45</v>
      </c>
      <c r="D93" t="n">
        <v>65</v>
      </c>
      <c r="E93" t="n">
        <v>1.1864</v>
      </c>
      <c r="F93" t="n">
        <v>71.18000000000001</v>
      </c>
      <c r="G93">
        <f>H93/60</f>
        <v/>
      </c>
      <c r="H93">
        <f>MEDIAN(I91,I92,I93,I94,I95)</f>
        <v/>
      </c>
      <c r="I93" t="n">
        <v>99</v>
      </c>
      <c r="J93">
        <f>H93-F93</f>
        <v/>
      </c>
      <c r="K93">
        <f>ABS(J93)</f>
        <v/>
      </c>
      <c r="L93">
        <f>K93/F93*100</f>
        <v/>
      </c>
    </row>
    <row r="94">
      <c r="A94" t="inlineStr">
        <is>
          <t>subject02</t>
        </is>
      </c>
      <c r="B94" t="n">
        <v>11</v>
      </c>
      <c r="C94" t="n">
        <v>50</v>
      </c>
      <c r="D94" t="n">
        <v>70</v>
      </c>
      <c r="E94" t="n">
        <v>1.1935</v>
      </c>
      <c r="F94" t="n">
        <v>71.61</v>
      </c>
      <c r="G94">
        <f>H94/60</f>
        <v/>
      </c>
      <c r="H94">
        <f>MEDIAN(I92,I93,I94,I95,I96)</f>
        <v/>
      </c>
      <c r="I94" t="n">
        <v>72</v>
      </c>
      <c r="J94">
        <f>H94-F94</f>
        <v/>
      </c>
      <c r="K94">
        <f>ABS(J94)</f>
        <v/>
      </c>
      <c r="L94">
        <f>K94/F94*100</f>
        <v/>
      </c>
    </row>
    <row r="95">
      <c r="A95" t="inlineStr">
        <is>
          <t>subject02</t>
        </is>
      </c>
      <c r="B95" t="n">
        <v>12</v>
      </c>
      <c r="C95" t="n">
        <v>55</v>
      </c>
      <c r="D95" t="n">
        <v>75</v>
      </c>
      <c r="E95" t="n">
        <v>1.1958</v>
      </c>
      <c r="F95" t="n">
        <v>71.75</v>
      </c>
      <c r="G95">
        <f>H95/60</f>
        <v/>
      </c>
      <c r="H95">
        <f>MEDIAN(I93,I94,I95,I96,I97)</f>
        <v/>
      </c>
      <c r="I95" t="n">
        <v>72</v>
      </c>
      <c r="J95">
        <f>H95-F95</f>
        <v/>
      </c>
      <c r="K95">
        <f>ABS(J95)</f>
        <v/>
      </c>
      <c r="L95">
        <f>K95/F95*100</f>
        <v/>
      </c>
    </row>
    <row r="96">
      <c r="A96" t="inlineStr">
        <is>
          <t>subject02</t>
        </is>
      </c>
      <c r="B96" t="n">
        <v>13</v>
      </c>
      <c r="C96" t="n">
        <v>60</v>
      </c>
      <c r="D96" t="n">
        <v>80</v>
      </c>
      <c r="E96" t="n">
        <v>1.2031</v>
      </c>
      <c r="F96" t="n">
        <v>72.19</v>
      </c>
      <c r="G96">
        <f>H96/60</f>
        <v/>
      </c>
      <c r="H96">
        <f>MEDIAN(I94,I95,I96,I97,I98)</f>
        <v/>
      </c>
      <c r="I96" t="n">
        <v>72</v>
      </c>
      <c r="J96">
        <f>H96-F96</f>
        <v/>
      </c>
      <c r="K96">
        <f>ABS(J96)</f>
        <v/>
      </c>
      <c r="L96">
        <f>K96/F96*100</f>
        <v/>
      </c>
    </row>
    <row r="97">
      <c r="A97" t="inlineStr">
        <is>
          <t>subject02</t>
        </is>
      </c>
      <c r="B97" t="n">
        <v>14</v>
      </c>
      <c r="C97" t="n">
        <v>65</v>
      </c>
      <c r="D97" t="n">
        <v>85</v>
      </c>
      <c r="E97" t="n">
        <v>1.2297</v>
      </c>
      <c r="F97" t="n">
        <v>73.78</v>
      </c>
      <c r="G97">
        <f>H97/60</f>
        <v/>
      </c>
      <c r="H97">
        <f>MEDIAN(I95,I96,I97,I98,I99)</f>
        <v/>
      </c>
      <c r="I97" t="n">
        <v>72</v>
      </c>
      <c r="J97">
        <f>H97-F97</f>
        <v/>
      </c>
      <c r="K97">
        <f>ABS(J97)</f>
        <v/>
      </c>
      <c r="L97">
        <f>K97/F97*100</f>
        <v/>
      </c>
    </row>
    <row r="98">
      <c r="A98" t="inlineStr">
        <is>
          <t>subject02</t>
        </is>
      </c>
      <c r="B98" t="n">
        <v>15</v>
      </c>
      <c r="C98" t="n">
        <v>70</v>
      </c>
      <c r="D98" t="n">
        <v>90</v>
      </c>
      <c r="E98" t="n">
        <v>1.241</v>
      </c>
      <c r="F98" t="n">
        <v>74.45999999999999</v>
      </c>
      <c r="G98">
        <f>H98/60</f>
        <v/>
      </c>
      <c r="H98">
        <f>MEDIAN(I96,I97,I98,I99,I100)</f>
        <v/>
      </c>
      <c r="I98" t="n">
        <v>75</v>
      </c>
      <c r="J98">
        <f>H98-F98</f>
        <v/>
      </c>
      <c r="K98">
        <f>ABS(J98)</f>
        <v/>
      </c>
      <c r="L98">
        <f>K98/F98*100</f>
        <v/>
      </c>
    </row>
    <row r="99">
      <c r="A99" t="inlineStr">
        <is>
          <t>subject02</t>
        </is>
      </c>
      <c r="B99" t="n">
        <v>16</v>
      </c>
      <c r="C99" t="n">
        <v>75</v>
      </c>
      <c r="D99" t="n">
        <v>95</v>
      </c>
      <c r="E99" t="n">
        <v>1.2563</v>
      </c>
      <c r="F99" t="n">
        <v>75.38</v>
      </c>
      <c r="G99">
        <f>H99/60</f>
        <v/>
      </c>
      <c r="H99">
        <f>MEDIAN(I97,I98,I99,I100,I101)</f>
        <v/>
      </c>
      <c r="I99" t="n">
        <v>75</v>
      </c>
      <c r="J99">
        <f>H99-F99</f>
        <v/>
      </c>
      <c r="K99">
        <f>ABS(J99)</f>
        <v/>
      </c>
      <c r="L99">
        <f>K99/F99*100</f>
        <v/>
      </c>
    </row>
    <row r="100">
      <c r="A100" t="inlineStr">
        <is>
          <t>subject02</t>
        </is>
      </c>
      <c r="B100" t="n">
        <v>17</v>
      </c>
      <c r="C100" t="n">
        <v>80</v>
      </c>
      <c r="D100" t="n">
        <v>100</v>
      </c>
      <c r="E100" t="n">
        <v>1.2612</v>
      </c>
      <c r="F100" t="n">
        <v>75.67</v>
      </c>
      <c r="G100">
        <f>H100/60</f>
        <v/>
      </c>
      <c r="H100">
        <f>MEDIAN(I98,I99,I100,I101,I102)</f>
        <v/>
      </c>
      <c r="I100" t="n">
        <v>75</v>
      </c>
      <c r="J100">
        <f>H100-F100</f>
        <v/>
      </c>
      <c r="K100">
        <f>ABS(J100)</f>
        <v/>
      </c>
      <c r="L100">
        <f>K100/F100*100</f>
        <v/>
      </c>
    </row>
    <row r="101">
      <c r="A101" t="inlineStr">
        <is>
          <t>subject02</t>
        </is>
      </c>
      <c r="B101" t="n">
        <v>18</v>
      </c>
      <c r="C101" t="n">
        <v>85</v>
      </c>
      <c r="D101" t="n">
        <v>105</v>
      </c>
      <c r="E101" t="n">
        <v>1.248</v>
      </c>
      <c r="F101" t="n">
        <v>74.88</v>
      </c>
      <c r="G101">
        <f>H101/60</f>
        <v/>
      </c>
      <c r="H101">
        <f>MEDIAN(I99,I100,I101,I102,I103)</f>
        <v/>
      </c>
      <c r="I101" t="n">
        <v>75</v>
      </c>
      <c r="J101">
        <f>H101-F101</f>
        <v/>
      </c>
      <c r="K101">
        <f>ABS(J101)</f>
        <v/>
      </c>
      <c r="L101">
        <f>K101/F101*100</f>
        <v/>
      </c>
    </row>
    <row r="102">
      <c r="A102" t="inlineStr">
        <is>
          <t>subject02</t>
        </is>
      </c>
      <c r="B102" t="n">
        <v>19</v>
      </c>
      <c r="C102" t="n">
        <v>90</v>
      </c>
      <c r="D102" t="n">
        <v>110</v>
      </c>
      <c r="E102" t="n">
        <v>1.2551</v>
      </c>
      <c r="F102" t="n">
        <v>75.31</v>
      </c>
      <c r="G102">
        <f>H102/60</f>
        <v/>
      </c>
      <c r="H102">
        <f>MEDIAN(I100,I101,I102,I103,I104)</f>
        <v/>
      </c>
      <c r="I102" t="n">
        <v>72</v>
      </c>
      <c r="J102">
        <f>H102-F102</f>
        <v/>
      </c>
      <c r="K102">
        <f>ABS(J102)</f>
        <v/>
      </c>
      <c r="L102">
        <f>K102/F102*100</f>
        <v/>
      </c>
    </row>
    <row r="103">
      <c r="A103" t="inlineStr">
        <is>
          <t>subject02</t>
        </is>
      </c>
      <c r="B103" t="n">
        <v>20</v>
      </c>
      <c r="C103" t="n">
        <v>95</v>
      </c>
      <c r="D103" t="n">
        <v>115</v>
      </c>
      <c r="E103" t="n">
        <v>1.3115</v>
      </c>
      <c r="F103" t="n">
        <v>78.69</v>
      </c>
      <c r="G103">
        <f>H103/60</f>
        <v/>
      </c>
      <c r="H103">
        <f>MEDIAN(I101,I102,I103,I104,I105)</f>
        <v/>
      </c>
      <c r="I103" t="n">
        <v>75</v>
      </c>
      <c r="J103">
        <f>H103-F103</f>
        <v/>
      </c>
      <c r="K103">
        <f>ABS(J103)</f>
        <v/>
      </c>
      <c r="L103">
        <f>K103/F103*100</f>
        <v/>
      </c>
    </row>
    <row r="104">
      <c r="A104" t="inlineStr">
        <is>
          <t>subject02</t>
        </is>
      </c>
      <c r="B104" t="n">
        <v>21</v>
      </c>
      <c r="C104" t="n">
        <v>100</v>
      </c>
      <c r="D104" t="n">
        <v>120</v>
      </c>
      <c r="E104" t="n">
        <v>1.3256</v>
      </c>
      <c r="F104" t="n">
        <v>79.53</v>
      </c>
      <c r="G104">
        <f>H104/60</f>
        <v/>
      </c>
      <c r="H104">
        <f>MEDIAN(I102,I103,I104,I105,I106)</f>
        <v/>
      </c>
      <c r="I104" t="n">
        <v>60</v>
      </c>
      <c r="J104">
        <f>H104-F104</f>
        <v/>
      </c>
      <c r="K104">
        <f>ABS(J104)</f>
        <v/>
      </c>
      <c r="L104">
        <f>K104/F104*100</f>
        <v/>
      </c>
    </row>
    <row r="105">
      <c r="A105" t="inlineStr">
        <is>
          <t>subject02</t>
        </is>
      </c>
      <c r="B105" t="n">
        <v>22</v>
      </c>
      <c r="C105" t="n">
        <v>105</v>
      </c>
      <c r="D105" t="n">
        <v>125</v>
      </c>
      <c r="E105" t="n">
        <v>1.3258</v>
      </c>
      <c r="F105" t="n">
        <v>79.55</v>
      </c>
      <c r="G105">
        <f>H105/60</f>
        <v/>
      </c>
      <c r="H105">
        <f>MEDIAN(I103,I104,I105,I106,I107)</f>
        <v/>
      </c>
      <c r="I105" t="n">
        <v>57</v>
      </c>
      <c r="J105">
        <f>H105-F105</f>
        <v/>
      </c>
      <c r="K105">
        <f>ABS(J105)</f>
        <v/>
      </c>
      <c r="L105">
        <f>K105/F105*100</f>
        <v/>
      </c>
    </row>
    <row r="106">
      <c r="A106" t="inlineStr">
        <is>
          <t>subject02</t>
        </is>
      </c>
      <c r="B106" t="n">
        <v>23</v>
      </c>
      <c r="C106" t="n">
        <v>110</v>
      </c>
      <c r="D106" t="n">
        <v>130</v>
      </c>
      <c r="E106" t="n">
        <v>1.334</v>
      </c>
      <c r="F106" t="n">
        <v>80.04000000000001</v>
      </c>
      <c r="G106">
        <f>H106/60</f>
        <v/>
      </c>
      <c r="H106">
        <f>MEDIAN(I104,I105,I106,I107,I108)</f>
        <v/>
      </c>
      <c r="I106" t="n">
        <v>75</v>
      </c>
      <c r="J106">
        <f>H106-F106</f>
        <v/>
      </c>
      <c r="K106">
        <f>ABS(J106)</f>
        <v/>
      </c>
      <c r="L106">
        <f>K106/F106*100</f>
        <v/>
      </c>
    </row>
    <row r="107">
      <c r="A107" t="inlineStr">
        <is>
          <t>subject02</t>
        </is>
      </c>
      <c r="B107" t="n">
        <v>24</v>
      </c>
      <c r="C107" t="n">
        <v>115</v>
      </c>
      <c r="D107" t="n">
        <v>135</v>
      </c>
      <c r="E107" t="n">
        <v>1.2697</v>
      </c>
      <c r="F107" t="n">
        <v>76.18000000000001</v>
      </c>
      <c r="G107">
        <f>H107/60</f>
        <v/>
      </c>
      <c r="H107">
        <f>MEDIAN(I105,I106,I107,I108,I109)</f>
        <v/>
      </c>
      <c r="I107" t="n">
        <v>75</v>
      </c>
      <c r="J107">
        <f>H107-F107</f>
        <v/>
      </c>
      <c r="K107">
        <f>ABS(J107)</f>
        <v/>
      </c>
      <c r="L107">
        <f>K107/F107*100</f>
        <v/>
      </c>
    </row>
    <row r="108">
      <c r="A108" t="inlineStr">
        <is>
          <t>subject02</t>
        </is>
      </c>
      <c r="B108" t="n">
        <v>25</v>
      </c>
      <c r="C108" t="n">
        <v>120</v>
      </c>
      <c r="D108" t="n">
        <v>140</v>
      </c>
      <c r="E108" t="n">
        <v>1.2585</v>
      </c>
      <c r="F108" t="n">
        <v>75.51000000000001</v>
      </c>
      <c r="G108">
        <f>H108/60</f>
        <v/>
      </c>
      <c r="H108">
        <f>MEDIAN(I106,I107,I108,I109,I110)</f>
        <v/>
      </c>
      <c r="I108" t="n">
        <v>75</v>
      </c>
      <c r="J108">
        <f>H108-F108</f>
        <v/>
      </c>
      <c r="K108">
        <f>ABS(J108)</f>
        <v/>
      </c>
      <c r="L108">
        <f>K108/F108*100</f>
        <v/>
      </c>
    </row>
    <row r="109">
      <c r="A109" t="inlineStr">
        <is>
          <t>subject02</t>
        </is>
      </c>
      <c r="B109" t="n">
        <v>26</v>
      </c>
      <c r="C109" t="n">
        <v>125</v>
      </c>
      <c r="D109" t="n">
        <v>145</v>
      </c>
      <c r="E109" t="n">
        <v>1.258</v>
      </c>
      <c r="F109" t="n">
        <v>75.48</v>
      </c>
      <c r="G109">
        <f>H109/60</f>
        <v/>
      </c>
      <c r="H109">
        <f>MEDIAN(I107,I108,I109,I110,I111)</f>
        <v/>
      </c>
      <c r="I109" t="n">
        <v>75</v>
      </c>
      <c r="J109">
        <f>H109-F109</f>
        <v/>
      </c>
      <c r="K109">
        <f>ABS(J109)</f>
        <v/>
      </c>
      <c r="L109">
        <f>K109/F109*100</f>
        <v/>
      </c>
    </row>
    <row r="110">
      <c r="A110" t="inlineStr">
        <is>
          <t>subject02</t>
        </is>
      </c>
      <c r="B110" t="n">
        <v>27</v>
      </c>
      <c r="C110" t="n">
        <v>130</v>
      </c>
      <c r="D110" t="n">
        <v>150</v>
      </c>
      <c r="E110" t="n">
        <v>1.2357</v>
      </c>
      <c r="F110" t="n">
        <v>74.14</v>
      </c>
      <c r="G110">
        <f>H110/60</f>
        <v/>
      </c>
      <c r="H110">
        <f>MEDIAN(I108,I109,I110,I111,I112)</f>
        <v/>
      </c>
      <c r="I110" t="n">
        <v>78</v>
      </c>
      <c r="J110">
        <f>H110-F110</f>
        <v/>
      </c>
      <c r="K110">
        <f>ABS(J110)</f>
        <v/>
      </c>
      <c r="L110">
        <f>K110/F110*100</f>
        <v/>
      </c>
    </row>
    <row r="111">
      <c r="A111" t="inlineStr">
        <is>
          <t>subject02</t>
        </is>
      </c>
      <c r="B111" t="n">
        <v>28</v>
      </c>
      <c r="C111" t="n">
        <v>135</v>
      </c>
      <c r="D111" t="n">
        <v>155</v>
      </c>
      <c r="E111" t="n">
        <v>1.238</v>
      </c>
      <c r="F111" t="n">
        <v>74.28</v>
      </c>
      <c r="G111">
        <f>H111/60</f>
        <v/>
      </c>
      <c r="H111">
        <f>MEDIAN(I109,I110,I111,I112,I113)</f>
        <v/>
      </c>
      <c r="I111" t="n">
        <v>51</v>
      </c>
      <c r="J111">
        <f>H111-F111</f>
        <v/>
      </c>
      <c r="K111">
        <f>ABS(J111)</f>
        <v/>
      </c>
      <c r="L111">
        <f>K111/F111*100</f>
        <v/>
      </c>
    </row>
    <row r="112">
      <c r="A112" t="inlineStr">
        <is>
          <t>subject02</t>
        </is>
      </c>
      <c r="B112" t="n">
        <v>29</v>
      </c>
      <c r="C112" t="n">
        <v>140</v>
      </c>
      <c r="D112" t="n">
        <v>160</v>
      </c>
      <c r="E112" t="n">
        <v>1.2261</v>
      </c>
      <c r="F112" t="n">
        <v>73.56</v>
      </c>
      <c r="G112">
        <f>H112/60</f>
        <v/>
      </c>
      <c r="H112">
        <f>MEDIAN(I110,I111,I112,I113,I114)</f>
        <v/>
      </c>
      <c r="I112" t="n">
        <v>54</v>
      </c>
      <c r="J112">
        <f>H112-F112</f>
        <v/>
      </c>
      <c r="K112">
        <f>ABS(J112)</f>
        <v/>
      </c>
      <c r="L112">
        <f>K112/F112*100</f>
        <v/>
      </c>
    </row>
    <row r="113">
      <c r="A113" t="inlineStr">
        <is>
          <t>subject02</t>
        </is>
      </c>
      <c r="B113" t="n">
        <v>30</v>
      </c>
      <c r="C113" t="n">
        <v>145</v>
      </c>
      <c r="D113" t="n">
        <v>165</v>
      </c>
      <c r="E113" t="n">
        <v>1.2294</v>
      </c>
      <c r="F113" t="n">
        <v>73.76000000000001</v>
      </c>
      <c r="G113">
        <f>H113/60</f>
        <v/>
      </c>
      <c r="H113">
        <f>MEDIAN(I111,I112,I113,I114,I115)</f>
        <v/>
      </c>
      <c r="I113" t="n">
        <v>57</v>
      </c>
      <c r="J113">
        <f>H113-F113</f>
        <v/>
      </c>
      <c r="K113">
        <f>ABS(J113)</f>
        <v/>
      </c>
      <c r="L113">
        <f>K113/F113*100</f>
        <v/>
      </c>
    </row>
    <row r="114">
      <c r="A114" t="inlineStr">
        <is>
          <t>subject02</t>
        </is>
      </c>
      <c r="B114" t="n">
        <v>31</v>
      </c>
      <c r="C114" t="n">
        <v>150</v>
      </c>
      <c r="D114" t="n">
        <v>170</v>
      </c>
      <c r="E114" t="n">
        <v>1.241</v>
      </c>
      <c r="F114" t="n">
        <v>74.45999999999999</v>
      </c>
      <c r="G114">
        <f>H114/60</f>
        <v/>
      </c>
      <c r="H114">
        <f>MEDIAN(I112,I113,I114,I115,I116)</f>
        <v/>
      </c>
      <c r="I114" t="n">
        <v>57</v>
      </c>
      <c r="J114">
        <f>H114-F114</f>
        <v/>
      </c>
      <c r="K114">
        <f>ABS(J114)</f>
        <v/>
      </c>
      <c r="L114">
        <f>K114/F114*100</f>
        <v/>
      </c>
    </row>
    <row r="115">
      <c r="A115" t="inlineStr">
        <is>
          <t>subject02</t>
        </is>
      </c>
      <c r="B115" t="n">
        <v>32</v>
      </c>
      <c r="C115" t="n">
        <v>155</v>
      </c>
      <c r="D115" t="n">
        <v>175</v>
      </c>
      <c r="E115" t="n">
        <v>1.2356</v>
      </c>
      <c r="F115" t="n">
        <v>74.14</v>
      </c>
      <c r="G115">
        <f>H115/60</f>
        <v/>
      </c>
      <c r="H115">
        <f>MEDIAN(I113,I114,I115,I116,I117)</f>
        <v/>
      </c>
      <c r="I115" t="n">
        <v>54</v>
      </c>
      <c r="J115">
        <f>H115-F115</f>
        <v/>
      </c>
      <c r="K115">
        <f>ABS(J115)</f>
        <v/>
      </c>
      <c r="L115">
        <f>K115/F115*100</f>
        <v/>
      </c>
    </row>
    <row r="116">
      <c r="A116" t="inlineStr">
        <is>
          <t>subject02</t>
        </is>
      </c>
      <c r="B116" t="n">
        <v>33</v>
      </c>
      <c r="C116" t="n">
        <v>160</v>
      </c>
      <c r="D116" t="n">
        <v>180</v>
      </c>
      <c r="E116" t="n">
        <v>1.258</v>
      </c>
      <c r="F116" t="n">
        <v>75.48</v>
      </c>
      <c r="G116">
        <f>H116/60</f>
        <v/>
      </c>
      <c r="H116">
        <f>MEDIAN(I114,I115,I116,I117,I118)</f>
        <v/>
      </c>
      <c r="I116" t="n">
        <v>57</v>
      </c>
      <c r="J116">
        <f>H116-F116</f>
        <v/>
      </c>
      <c r="K116">
        <f>ABS(J116)</f>
        <v/>
      </c>
      <c r="L116">
        <f>K116/F116*100</f>
        <v/>
      </c>
    </row>
    <row r="117">
      <c r="A117" t="inlineStr">
        <is>
          <t>subject02</t>
        </is>
      </c>
      <c r="B117" t="n">
        <v>34</v>
      </c>
      <c r="C117" t="n">
        <v>165</v>
      </c>
      <c r="D117" t="n">
        <v>185</v>
      </c>
      <c r="E117" t="n">
        <v>1.2534</v>
      </c>
      <c r="F117" t="n">
        <v>75.20999999999999</v>
      </c>
      <c r="G117">
        <f>H117/60</f>
        <v/>
      </c>
      <c r="H117">
        <f>MEDIAN(I115,I116,I117,I118,I119)</f>
        <v/>
      </c>
      <c r="I117" t="n">
        <v>75</v>
      </c>
      <c r="J117">
        <f>H117-F117</f>
        <v/>
      </c>
      <c r="K117">
        <f>ABS(J117)</f>
        <v/>
      </c>
      <c r="L117">
        <f>K117/F117*100</f>
        <v/>
      </c>
    </row>
    <row r="118">
      <c r="A118" t="inlineStr">
        <is>
          <t>subject02</t>
        </is>
      </c>
      <c r="B118" t="n">
        <v>35</v>
      </c>
      <c r="C118" t="n">
        <v>170</v>
      </c>
      <c r="D118" t="n">
        <v>190</v>
      </c>
      <c r="E118" t="n">
        <v>1.2604</v>
      </c>
      <c r="F118" t="n">
        <v>75.62</v>
      </c>
      <c r="G118">
        <f>H118/60</f>
        <v/>
      </c>
      <c r="H118">
        <f>MEDIAN(I116,I117,I118,I119,I120)</f>
        <v/>
      </c>
      <c r="I118" t="n">
        <v>75</v>
      </c>
      <c r="J118">
        <f>H118-F118</f>
        <v/>
      </c>
      <c r="K118">
        <f>ABS(J118)</f>
        <v/>
      </c>
      <c r="L118">
        <f>K118/F118*100</f>
        <v/>
      </c>
    </row>
    <row r="119">
      <c r="A119" t="inlineStr">
        <is>
          <t>subject02</t>
        </is>
      </c>
      <c r="B119" t="n">
        <v>36</v>
      </c>
      <c r="C119" t="n">
        <v>175</v>
      </c>
      <c r="D119" t="n">
        <v>195</v>
      </c>
      <c r="E119" t="n">
        <v>1.2727</v>
      </c>
      <c r="F119" t="n">
        <v>76.36</v>
      </c>
      <c r="G119">
        <f>H119/60</f>
        <v/>
      </c>
      <c r="H119">
        <f>MEDIAN(I117,I118,I119,I120,I121)</f>
        <v/>
      </c>
      <c r="I119" t="n">
        <v>60</v>
      </c>
      <c r="J119">
        <f>H119-F119</f>
        <v/>
      </c>
      <c r="K119">
        <f>ABS(J119)</f>
        <v/>
      </c>
      <c r="L119">
        <f>K119/F119*100</f>
        <v/>
      </c>
    </row>
    <row r="120">
      <c r="A120" t="inlineStr">
        <is>
          <t>subject02</t>
        </is>
      </c>
      <c r="B120" t="n">
        <v>37</v>
      </c>
      <c r="C120" t="n">
        <v>180</v>
      </c>
      <c r="D120" t="n">
        <v>200</v>
      </c>
      <c r="E120" t="n">
        <v>1.2602</v>
      </c>
      <c r="F120" t="n">
        <v>75.61</v>
      </c>
      <c r="G120">
        <f>H120/60</f>
        <v/>
      </c>
      <c r="H120">
        <f>MEDIAN(I118,I119,I120,I121,I122)</f>
        <v/>
      </c>
      <c r="I120" t="n">
        <v>60</v>
      </c>
      <c r="J120">
        <f>H120-F120</f>
        <v/>
      </c>
      <c r="K120">
        <f>ABS(J120)</f>
        <v/>
      </c>
      <c r="L120">
        <f>K120/F120*100</f>
        <v/>
      </c>
    </row>
    <row r="121">
      <c r="A121" t="inlineStr">
        <is>
          <t>subject02</t>
        </is>
      </c>
      <c r="B121" t="n">
        <v>38</v>
      </c>
      <c r="C121" t="n">
        <v>185</v>
      </c>
      <c r="D121" t="n">
        <v>205</v>
      </c>
      <c r="E121" t="n">
        <v>1.2626</v>
      </c>
      <c r="F121" t="n">
        <v>75.76000000000001</v>
      </c>
      <c r="G121">
        <f>H121/60</f>
        <v/>
      </c>
      <c r="H121">
        <f>MEDIAN(I119,I120,I121,I122,I123)</f>
        <v/>
      </c>
      <c r="I121" t="n">
        <v>63</v>
      </c>
      <c r="J121">
        <f>H121-F121</f>
        <v/>
      </c>
      <c r="K121">
        <f>ABS(J121)</f>
        <v/>
      </c>
      <c r="L121">
        <f>K121/F121*100</f>
        <v/>
      </c>
    </row>
    <row r="122">
      <c r="A122" t="inlineStr">
        <is>
          <t>subject02</t>
        </is>
      </c>
      <c r="B122" t="n">
        <v>39</v>
      </c>
      <c r="C122" t="n">
        <v>190</v>
      </c>
      <c r="D122" t="n">
        <v>210</v>
      </c>
      <c r="E122" t="n">
        <v>1.259</v>
      </c>
      <c r="F122" t="n">
        <v>75.54000000000001</v>
      </c>
      <c r="G122">
        <f>H122/60</f>
        <v/>
      </c>
      <c r="H122">
        <f>MEDIAN(I120,I121,I122,I123,I124)</f>
        <v/>
      </c>
      <c r="I122" t="n">
        <v>72</v>
      </c>
      <c r="J122">
        <f>H122-F122</f>
        <v/>
      </c>
      <c r="K122">
        <f>ABS(J122)</f>
        <v/>
      </c>
      <c r="L122">
        <f>K122/F122*100</f>
        <v/>
      </c>
    </row>
    <row r="123">
      <c r="A123" t="inlineStr">
        <is>
          <t>subject02</t>
        </is>
      </c>
      <c r="B123" t="n">
        <v>40</v>
      </c>
      <c r="C123" t="n">
        <v>195</v>
      </c>
      <c r="D123" t="n">
        <v>215</v>
      </c>
      <c r="E123" t="n">
        <v>1.2677</v>
      </c>
      <c r="F123" t="n">
        <v>76.06</v>
      </c>
      <c r="G123">
        <f>H123/60</f>
        <v/>
      </c>
      <c r="H123">
        <f>MEDIAN(I121,I122,I123,I124,I125)</f>
        <v/>
      </c>
      <c r="I123" t="n">
        <v>75</v>
      </c>
      <c r="J123">
        <f>H123-F123</f>
        <v/>
      </c>
      <c r="K123">
        <f>ABS(J123)</f>
        <v/>
      </c>
      <c r="L123">
        <f>K123/F123*100</f>
        <v/>
      </c>
    </row>
    <row r="124">
      <c r="A124" t="inlineStr">
        <is>
          <t>subject02</t>
        </is>
      </c>
      <c r="B124" t="n">
        <v>41</v>
      </c>
      <c r="C124" t="n">
        <v>200</v>
      </c>
      <c r="D124" t="n">
        <v>220</v>
      </c>
      <c r="E124" t="n">
        <v>1.2842</v>
      </c>
      <c r="F124" t="n">
        <v>77.05</v>
      </c>
      <c r="G124">
        <f>H124/60</f>
        <v/>
      </c>
      <c r="H124">
        <f>MEDIAN(I122,I123,I124,I125,I126)</f>
        <v/>
      </c>
      <c r="I124" t="n">
        <v>81</v>
      </c>
      <c r="J124">
        <f>H124-F124</f>
        <v/>
      </c>
      <c r="K124">
        <f>ABS(J124)</f>
        <v/>
      </c>
      <c r="L124">
        <f>K124/F124*100</f>
        <v/>
      </c>
    </row>
    <row r="125">
      <c r="A125" t="inlineStr">
        <is>
          <t>subject02</t>
        </is>
      </c>
      <c r="B125" t="n">
        <v>42</v>
      </c>
      <c r="C125" t="n">
        <v>205</v>
      </c>
      <c r="D125" t="n">
        <v>225</v>
      </c>
      <c r="E125" t="n">
        <v>1.2966</v>
      </c>
      <c r="F125" t="n">
        <v>77.8</v>
      </c>
      <c r="G125">
        <f>H125/60</f>
        <v/>
      </c>
      <c r="H125">
        <f>MEDIAN(I123,I124,I125,I126,I127)</f>
        <v/>
      </c>
      <c r="I125" t="n">
        <v>81</v>
      </c>
      <c r="J125">
        <f>H125-F125</f>
        <v/>
      </c>
      <c r="K125">
        <f>ABS(J125)</f>
        <v/>
      </c>
      <c r="L125">
        <f>K125/F125*100</f>
        <v/>
      </c>
    </row>
    <row r="126">
      <c r="A126" t="inlineStr">
        <is>
          <t>subject02</t>
        </is>
      </c>
      <c r="B126" t="n">
        <v>43</v>
      </c>
      <c r="C126" t="n">
        <v>210</v>
      </c>
      <c r="D126" t="n">
        <v>230</v>
      </c>
      <c r="E126" t="n">
        <v>1.3051</v>
      </c>
      <c r="F126" t="n">
        <v>78.31</v>
      </c>
      <c r="G126">
        <f>H126/60</f>
        <v/>
      </c>
      <c r="H126">
        <f>MEDIAN(I124,I125,I126,I127,I128)</f>
        <v/>
      </c>
      <c r="I126" t="n">
        <v>81</v>
      </c>
      <c r="J126">
        <f>H126-F126</f>
        <v/>
      </c>
      <c r="K126">
        <f>ABS(J126)</f>
        <v/>
      </c>
      <c r="L126">
        <f>K126/F126*100</f>
        <v/>
      </c>
    </row>
    <row r="127">
      <c r="A127" t="inlineStr">
        <is>
          <t>subject02</t>
        </is>
      </c>
      <c r="B127" t="n">
        <v>44</v>
      </c>
      <c r="C127" t="n">
        <v>215</v>
      </c>
      <c r="D127" t="n">
        <v>235</v>
      </c>
      <c r="E127" t="n">
        <v>1.3039</v>
      </c>
      <c r="F127" t="n">
        <v>78.23999999999999</v>
      </c>
      <c r="G127">
        <f>H127/60</f>
        <v/>
      </c>
      <c r="H127">
        <f>MEDIAN(I125,I126,I127,I128,I129)</f>
        <v/>
      </c>
      <c r="I127" t="n">
        <v>54</v>
      </c>
      <c r="J127">
        <f>H127-F127</f>
        <v/>
      </c>
      <c r="K127">
        <f>ABS(J127)</f>
        <v/>
      </c>
      <c r="L127">
        <f>K127/F127*100</f>
        <v/>
      </c>
    </row>
    <row r="128">
      <c r="A128" t="inlineStr">
        <is>
          <t>subject02</t>
        </is>
      </c>
      <c r="B128" t="n">
        <v>45</v>
      </c>
      <c r="C128" t="n">
        <v>220</v>
      </c>
      <c r="D128" t="n">
        <v>240</v>
      </c>
      <c r="E128" t="n">
        <v>1.2937</v>
      </c>
      <c r="F128" t="n">
        <v>77.62</v>
      </c>
      <c r="G128">
        <f>H128/60</f>
        <v/>
      </c>
      <c r="H128">
        <f>MEDIAN(I126,I127,I128,I129,I130)</f>
        <v/>
      </c>
      <c r="I128" t="n">
        <v>93</v>
      </c>
      <c r="J128">
        <f>H128-F128</f>
        <v/>
      </c>
      <c r="K128">
        <f>ABS(J128)</f>
        <v/>
      </c>
      <c r="L128">
        <f>K128/F128*100</f>
        <v/>
      </c>
    </row>
    <row r="129">
      <c r="A129" t="inlineStr">
        <is>
          <t>subject02</t>
        </is>
      </c>
      <c r="B129" t="n">
        <v>46</v>
      </c>
      <c r="C129" t="n">
        <v>225</v>
      </c>
      <c r="D129" t="n">
        <v>245</v>
      </c>
      <c r="E129" t="n">
        <v>1.2947</v>
      </c>
      <c r="F129" t="n">
        <v>77.68000000000001</v>
      </c>
      <c r="G129">
        <f>H129/60</f>
        <v/>
      </c>
      <c r="H129">
        <f>MEDIAN(I127,I128,I129,I130,I131)</f>
        <v/>
      </c>
      <c r="I129" t="n">
        <v>90</v>
      </c>
      <c r="J129">
        <f>H129-F129</f>
        <v/>
      </c>
      <c r="K129">
        <f>ABS(J129)</f>
        <v/>
      </c>
      <c r="L129">
        <f>K129/F129*100</f>
        <v/>
      </c>
    </row>
    <row r="130">
      <c r="A130" t="inlineStr">
        <is>
          <t>subject02</t>
        </is>
      </c>
      <c r="B130" t="n">
        <v>47</v>
      </c>
      <c r="C130" t="n">
        <v>230</v>
      </c>
      <c r="D130" t="n">
        <v>250</v>
      </c>
      <c r="E130" t="n">
        <v>1.2895</v>
      </c>
      <c r="F130" t="n">
        <v>77.37</v>
      </c>
      <c r="G130">
        <f>H130/60</f>
        <v/>
      </c>
      <c r="H130">
        <f>MEDIAN(I128,I129,I130,I131,I132)</f>
        <v/>
      </c>
      <c r="I130" t="n">
        <v>81</v>
      </c>
      <c r="J130">
        <f>H130-F130</f>
        <v/>
      </c>
      <c r="K130">
        <f>ABS(J130)</f>
        <v/>
      </c>
      <c r="L130">
        <f>K130/F130*100</f>
        <v/>
      </c>
    </row>
    <row r="131">
      <c r="A131" t="inlineStr">
        <is>
          <t>subject02</t>
        </is>
      </c>
      <c r="B131" t="n">
        <v>48</v>
      </c>
      <c r="C131" t="n">
        <v>235</v>
      </c>
      <c r="D131" t="n">
        <v>255</v>
      </c>
      <c r="E131" t="n">
        <v>1.2881</v>
      </c>
      <c r="F131" t="n">
        <v>77.29000000000001</v>
      </c>
      <c r="G131">
        <f>H131/60</f>
        <v/>
      </c>
      <c r="H131">
        <f>MEDIAN(I129,I130,I131,I132,I133)</f>
        <v/>
      </c>
      <c r="I131" t="n">
        <v>84</v>
      </c>
      <c r="J131">
        <f>H131-F131</f>
        <v/>
      </c>
      <c r="K131">
        <f>ABS(J131)</f>
        <v/>
      </c>
      <c r="L131">
        <f>K131/F131*100</f>
        <v/>
      </c>
    </row>
    <row r="132">
      <c r="A132" t="inlineStr">
        <is>
          <t>subject02</t>
        </is>
      </c>
      <c r="B132" t="n">
        <v>49</v>
      </c>
      <c r="C132" t="n">
        <v>240</v>
      </c>
      <c r="D132" t="n">
        <v>260</v>
      </c>
      <c r="E132" t="n">
        <v>1.305</v>
      </c>
      <c r="F132" t="n">
        <v>78.3</v>
      </c>
      <c r="G132">
        <f>H132/60</f>
        <v/>
      </c>
      <c r="H132">
        <f>MEDIAN(I130,I131,I132,I133,I134)</f>
        <v/>
      </c>
      <c r="I132" t="n">
        <v>57</v>
      </c>
      <c r="J132">
        <f>H132-F132</f>
        <v/>
      </c>
      <c r="K132">
        <f>ABS(J132)</f>
        <v/>
      </c>
      <c r="L132">
        <f>K132/F132*100</f>
        <v/>
      </c>
    </row>
    <row r="133">
      <c r="A133" t="inlineStr">
        <is>
          <t>subject02</t>
        </is>
      </c>
      <c r="B133" t="n">
        <v>50</v>
      </c>
      <c r="C133" t="n">
        <v>245</v>
      </c>
      <c r="D133" t="n">
        <v>265</v>
      </c>
      <c r="E133" t="n">
        <v>1.3204</v>
      </c>
      <c r="F133" t="n">
        <v>79.22</v>
      </c>
      <c r="G133">
        <f>H133/60</f>
        <v/>
      </c>
      <c r="H133">
        <f>MEDIAN(I131,I132,I133,I134,I135)</f>
        <v/>
      </c>
      <c r="I133" t="n">
        <v>60</v>
      </c>
      <c r="J133">
        <f>H133-F133</f>
        <v/>
      </c>
      <c r="K133">
        <f>ABS(J133)</f>
        <v/>
      </c>
      <c r="L133">
        <f>K133/F133*100</f>
        <v/>
      </c>
    </row>
    <row r="134">
      <c r="A134" t="inlineStr">
        <is>
          <t>subject02</t>
        </is>
      </c>
      <c r="B134" t="n">
        <v>51</v>
      </c>
      <c r="C134" t="n">
        <v>250</v>
      </c>
      <c r="D134" t="n">
        <v>270</v>
      </c>
      <c r="E134" t="n">
        <v>1.3319</v>
      </c>
      <c r="F134" t="n">
        <v>79.92</v>
      </c>
      <c r="G134">
        <f>H134/60</f>
        <v/>
      </c>
      <c r="H134">
        <f>MEDIAN(I132,I133,I134,I135,I136)</f>
        <v/>
      </c>
      <c r="I134" t="n">
        <v>63</v>
      </c>
      <c r="J134">
        <f>H134-F134</f>
        <v/>
      </c>
      <c r="K134">
        <f>ABS(J134)</f>
        <v/>
      </c>
      <c r="L134">
        <f>K134/F134*100</f>
        <v/>
      </c>
    </row>
    <row r="135">
      <c r="A135" t="inlineStr">
        <is>
          <t>subject02</t>
        </is>
      </c>
      <c r="B135" t="n">
        <v>52</v>
      </c>
      <c r="C135" t="n">
        <v>255</v>
      </c>
      <c r="D135" t="n">
        <v>275</v>
      </c>
      <c r="E135" t="n">
        <v>1.3302</v>
      </c>
      <c r="F135" t="n">
        <v>79.81</v>
      </c>
      <c r="G135">
        <f>H135/60</f>
        <v/>
      </c>
      <c r="H135">
        <f>MEDIAN(I133,I134,I135,I136,I137)</f>
        <v/>
      </c>
      <c r="I135" t="n">
        <v>84</v>
      </c>
      <c r="J135">
        <f>H135-F135</f>
        <v/>
      </c>
      <c r="K135">
        <f>ABS(J135)</f>
        <v/>
      </c>
      <c r="L135">
        <f>K135/F135*100</f>
        <v/>
      </c>
    </row>
    <row r="136">
      <c r="A136" t="inlineStr">
        <is>
          <t>subject02</t>
        </is>
      </c>
      <c r="B136" t="n">
        <v>53</v>
      </c>
      <c r="C136" t="n">
        <v>260</v>
      </c>
      <c r="D136" t="n">
        <v>280</v>
      </c>
      <c r="E136" t="n">
        <v>1.3278</v>
      </c>
      <c r="F136" t="n">
        <v>79.67</v>
      </c>
      <c r="G136">
        <f>H136/60</f>
        <v/>
      </c>
      <c r="H136">
        <f>MEDIAN(I134,I135,I136,I137,I138)</f>
        <v/>
      </c>
      <c r="I136" t="n">
        <v>84</v>
      </c>
      <c r="J136">
        <f>H136-F136</f>
        <v/>
      </c>
      <c r="K136">
        <f>ABS(J136)</f>
        <v/>
      </c>
      <c r="L136">
        <f>K136/F136*100</f>
        <v/>
      </c>
    </row>
    <row r="137">
      <c r="A137" t="inlineStr">
        <is>
          <t>subject02</t>
        </is>
      </c>
      <c r="B137" t="n">
        <v>54</v>
      </c>
      <c r="C137" t="n">
        <v>265</v>
      </c>
      <c r="D137" t="n">
        <v>285</v>
      </c>
      <c r="E137" t="n">
        <v>1.3222</v>
      </c>
      <c r="F137" t="n">
        <v>79.33</v>
      </c>
      <c r="G137">
        <f>H137/60</f>
        <v/>
      </c>
      <c r="H137">
        <f>MEDIAN(I135,I136,I137,I138,I139)</f>
        <v/>
      </c>
      <c r="I137" t="n">
        <v>81</v>
      </c>
      <c r="J137">
        <f>H137-F137</f>
        <v/>
      </c>
      <c r="K137">
        <f>ABS(J137)</f>
        <v/>
      </c>
      <c r="L137">
        <f>K137/F137*100</f>
        <v/>
      </c>
    </row>
    <row r="138">
      <c r="A138" t="inlineStr">
        <is>
          <t>subject02</t>
        </is>
      </c>
      <c r="B138" t="n">
        <v>55</v>
      </c>
      <c r="C138" t="n">
        <v>270</v>
      </c>
      <c r="D138" t="n">
        <v>290</v>
      </c>
      <c r="E138" t="n">
        <v>1.3307</v>
      </c>
      <c r="F138" t="n">
        <v>79.84</v>
      </c>
      <c r="G138">
        <f>H138/60</f>
        <v/>
      </c>
      <c r="H138">
        <f>MEDIAN(I136,I137,I138,I139,I140)</f>
        <v/>
      </c>
      <c r="I138" t="n">
        <v>81</v>
      </c>
      <c r="J138">
        <f>H138-F138</f>
        <v/>
      </c>
      <c r="K138">
        <f>ABS(J138)</f>
        <v/>
      </c>
      <c r="L138">
        <f>K138/F138*100</f>
        <v/>
      </c>
    </row>
    <row r="139">
      <c r="A139" t="inlineStr">
        <is>
          <t>subject02</t>
        </is>
      </c>
      <c r="B139" t="n">
        <v>56</v>
      </c>
      <c r="C139" t="n">
        <v>275</v>
      </c>
      <c r="D139" t="n">
        <v>295</v>
      </c>
      <c r="E139" t="n">
        <v>1.3455</v>
      </c>
      <c r="F139" t="n">
        <v>80.73</v>
      </c>
      <c r="G139">
        <f>H139/60</f>
        <v/>
      </c>
      <c r="H139">
        <f>MEDIAN(I137,I138,I139,I140,I141)</f>
        <v/>
      </c>
      <c r="I139" t="n">
        <v>81</v>
      </c>
      <c r="J139">
        <f>H139-F139</f>
        <v/>
      </c>
      <c r="K139">
        <f>ABS(J139)</f>
        <v/>
      </c>
      <c r="L139">
        <f>K139/F139*100</f>
        <v/>
      </c>
    </row>
    <row r="140">
      <c r="A140" t="inlineStr">
        <is>
          <t>subject02</t>
        </is>
      </c>
      <c r="B140" t="n">
        <v>57</v>
      </c>
      <c r="C140" t="n">
        <v>280</v>
      </c>
      <c r="D140" t="n">
        <v>300</v>
      </c>
      <c r="E140" t="n">
        <v>1.3487</v>
      </c>
      <c r="F140" t="n">
        <v>80.92</v>
      </c>
      <c r="G140">
        <f>H140/60</f>
        <v/>
      </c>
      <c r="H140">
        <f>MEDIAN(I138,I139,I140,I141,I142)</f>
        <v/>
      </c>
      <c r="I140" t="n">
        <v>81</v>
      </c>
      <c r="J140">
        <f>H140-F140</f>
        <v/>
      </c>
      <c r="K140">
        <f>ABS(J140)</f>
        <v/>
      </c>
      <c r="L140">
        <f>K140/F140*100</f>
        <v/>
      </c>
    </row>
    <row r="141">
      <c r="A141" t="inlineStr">
        <is>
          <t>subject02</t>
        </is>
      </c>
      <c r="B141" t="n">
        <v>58</v>
      </c>
      <c r="C141" t="n">
        <v>285</v>
      </c>
      <c r="D141" t="n">
        <v>305</v>
      </c>
      <c r="E141" t="n">
        <v>1.3526</v>
      </c>
      <c r="F141" t="n">
        <v>81.15000000000001</v>
      </c>
      <c r="G141">
        <f>H141/60</f>
        <v/>
      </c>
      <c r="H141">
        <f>MEDIAN(I139,I140,I141,I142,I143)</f>
        <v/>
      </c>
      <c r="I141" t="n">
        <v>57</v>
      </c>
      <c r="J141">
        <f>H141-F141</f>
        <v/>
      </c>
      <c r="K141">
        <f>ABS(J141)</f>
        <v/>
      </c>
      <c r="L141">
        <f>K141/F141*100</f>
        <v/>
      </c>
    </row>
    <row r="142">
      <c r="A142" t="inlineStr">
        <is>
          <t>subject02</t>
        </is>
      </c>
      <c r="B142" t="n">
        <v>59</v>
      </c>
      <c r="C142" t="n">
        <v>290</v>
      </c>
      <c r="D142" t="n">
        <v>310</v>
      </c>
      <c r="E142" t="n">
        <v>1.35</v>
      </c>
      <c r="F142" t="n">
        <v>81</v>
      </c>
      <c r="G142">
        <f>H142/60</f>
        <v/>
      </c>
      <c r="H142">
        <f>MEDIAN(I140,I141,I142,I143,I144)</f>
        <v/>
      </c>
      <c r="I142" t="n">
        <v>57</v>
      </c>
      <c r="J142">
        <f>H142-F142</f>
        <v/>
      </c>
      <c r="K142">
        <f>ABS(J142)</f>
        <v/>
      </c>
      <c r="L142">
        <f>K142/F142*100</f>
        <v/>
      </c>
    </row>
    <row r="143">
      <c r="A143" t="inlineStr">
        <is>
          <t>subject02</t>
        </is>
      </c>
      <c r="B143" t="n">
        <v>60</v>
      </c>
      <c r="C143" t="n">
        <v>295</v>
      </c>
      <c r="D143" t="n">
        <v>315</v>
      </c>
      <c r="E143" t="n">
        <v>1.3496</v>
      </c>
      <c r="F143" t="n">
        <v>80.98</v>
      </c>
      <c r="G143">
        <f>H143/60</f>
        <v/>
      </c>
      <c r="H143">
        <f>MEDIAN(I141,I142,I143,I144,I145)</f>
        <v/>
      </c>
      <c r="I143" t="n">
        <v>87</v>
      </c>
      <c r="J143">
        <f>H143-F143</f>
        <v/>
      </c>
      <c r="K143">
        <f>ABS(J143)</f>
        <v/>
      </c>
      <c r="L143">
        <f>K143/F143*100</f>
        <v/>
      </c>
    </row>
    <row r="144">
      <c r="A144" t="inlineStr">
        <is>
          <t>subject02</t>
        </is>
      </c>
      <c r="B144" t="n">
        <v>61</v>
      </c>
      <c r="C144" t="n">
        <v>300</v>
      </c>
      <c r="D144" t="n">
        <v>320</v>
      </c>
      <c r="E144" t="n">
        <v>1.3387</v>
      </c>
      <c r="F144" t="n">
        <v>80.31999999999999</v>
      </c>
      <c r="G144">
        <f>H144/60</f>
        <v/>
      </c>
      <c r="H144">
        <f>MEDIAN(I142,I143,I144,I145,I146)</f>
        <v/>
      </c>
      <c r="I144" t="n">
        <v>84</v>
      </c>
      <c r="J144">
        <f>H144-F144</f>
        <v/>
      </c>
      <c r="K144">
        <f>ABS(J144)</f>
        <v/>
      </c>
      <c r="L144">
        <f>K144/F144*100</f>
        <v/>
      </c>
    </row>
    <row r="145">
      <c r="A145" t="inlineStr">
        <is>
          <t>subject02</t>
        </is>
      </c>
      <c r="B145" t="n">
        <v>62</v>
      </c>
      <c r="C145" t="n">
        <v>305</v>
      </c>
      <c r="D145" t="n">
        <v>325</v>
      </c>
      <c r="E145" t="n">
        <v>1.3305</v>
      </c>
      <c r="F145" t="n">
        <v>79.83</v>
      </c>
      <c r="G145">
        <f>H145/60</f>
        <v/>
      </c>
      <c r="H145">
        <f>MEDIAN(I143,I144,I145,I146,I147)</f>
        <v/>
      </c>
      <c r="I145" t="n">
        <v>57</v>
      </c>
      <c r="J145">
        <f>H145-F145</f>
        <v/>
      </c>
      <c r="K145">
        <f>ABS(J145)</f>
        <v/>
      </c>
      <c r="L145">
        <f>K145/F145*100</f>
        <v/>
      </c>
    </row>
    <row r="146">
      <c r="A146" t="inlineStr">
        <is>
          <t>subject02</t>
        </is>
      </c>
      <c r="B146" t="n">
        <v>63</v>
      </c>
      <c r="C146" t="n">
        <v>310</v>
      </c>
      <c r="D146" t="n">
        <v>330</v>
      </c>
      <c r="E146" t="n">
        <v>1.3298</v>
      </c>
      <c r="F146" t="n">
        <v>79.79000000000001</v>
      </c>
      <c r="G146">
        <f>H146/60</f>
        <v/>
      </c>
      <c r="H146">
        <f>MEDIAN(I144,I145,I146,I147,I148)</f>
        <v/>
      </c>
      <c r="I146" t="n">
        <v>60</v>
      </c>
      <c r="J146">
        <f>H146-F146</f>
        <v/>
      </c>
      <c r="K146">
        <f>ABS(J146)</f>
        <v/>
      </c>
      <c r="L146">
        <f>K146/F146*100</f>
        <v/>
      </c>
    </row>
    <row r="147">
      <c r="A147" t="inlineStr">
        <is>
          <t>subject02</t>
        </is>
      </c>
      <c r="B147" t="n">
        <v>64</v>
      </c>
      <c r="C147" t="n">
        <v>315</v>
      </c>
      <c r="D147" t="n">
        <v>335</v>
      </c>
      <c r="E147" t="n">
        <v>1.3236</v>
      </c>
      <c r="F147" t="n">
        <v>79.41</v>
      </c>
      <c r="G147">
        <f>H147/60</f>
        <v/>
      </c>
      <c r="H147">
        <f>MEDIAN(I145,I146,I147,I148,I149)</f>
        <v/>
      </c>
      <c r="I147" t="n">
        <v>78</v>
      </c>
      <c r="J147">
        <f>H147-F147</f>
        <v/>
      </c>
      <c r="K147">
        <f>ABS(J147)</f>
        <v/>
      </c>
      <c r="L147">
        <f>K147/F147*100</f>
        <v/>
      </c>
    </row>
    <row r="148">
      <c r="A148" t="inlineStr">
        <is>
          <t>subject02</t>
        </is>
      </c>
      <c r="B148" t="n">
        <v>65</v>
      </c>
      <c r="C148" t="n">
        <v>320</v>
      </c>
      <c r="D148" t="n">
        <v>340</v>
      </c>
      <c r="E148" t="n">
        <v>1.3237</v>
      </c>
      <c r="F148" t="n">
        <v>79.42</v>
      </c>
      <c r="G148">
        <f>H148/60</f>
        <v/>
      </c>
      <c r="H148">
        <f>MEDIAN(I146,I147,I148,I149,I150)</f>
        <v/>
      </c>
      <c r="I148" t="n">
        <v>81</v>
      </c>
      <c r="J148">
        <f>H148-F148</f>
        <v/>
      </c>
      <c r="K148">
        <f>ABS(J148)</f>
        <v/>
      </c>
      <c r="L148">
        <f>K148/F148*100</f>
        <v/>
      </c>
    </row>
    <row r="149">
      <c r="A149" t="inlineStr">
        <is>
          <t>subject02</t>
        </is>
      </c>
      <c r="B149" t="n">
        <v>66</v>
      </c>
      <c r="C149" t="n">
        <v>325</v>
      </c>
      <c r="D149" t="n">
        <v>345</v>
      </c>
      <c r="E149" t="n">
        <v>1.3176</v>
      </c>
      <c r="F149" t="n">
        <v>79.05</v>
      </c>
      <c r="G149">
        <f>H149/60</f>
        <v/>
      </c>
      <c r="H149">
        <f>MEDIAN(I147,I148,I149,I150,I151)</f>
        <v/>
      </c>
      <c r="I149" t="n">
        <v>78</v>
      </c>
      <c r="J149">
        <f>H149-F149</f>
        <v/>
      </c>
      <c r="K149">
        <f>ABS(J149)</f>
        <v/>
      </c>
      <c r="L149">
        <f>K149/F149*100</f>
        <v/>
      </c>
    </row>
    <row r="150">
      <c r="A150" t="inlineStr">
        <is>
          <t>subject02</t>
        </is>
      </c>
      <c r="B150" t="n">
        <v>67</v>
      </c>
      <c r="C150" t="n">
        <v>330</v>
      </c>
      <c r="D150" t="n">
        <v>350</v>
      </c>
      <c r="E150" t="n">
        <v>1.3109</v>
      </c>
      <c r="F150" t="n">
        <v>78.66</v>
      </c>
      <c r="G150">
        <f>H150/60</f>
        <v/>
      </c>
      <c r="H150">
        <f>MEDIAN(I148,I149,I150,I151,I152)</f>
        <v/>
      </c>
      <c r="I150" t="n">
        <v>78</v>
      </c>
      <c r="J150">
        <f>H150-F150</f>
        <v/>
      </c>
      <c r="K150">
        <f>ABS(J150)</f>
        <v/>
      </c>
      <c r="L150">
        <f>K150/F150*100</f>
        <v/>
      </c>
    </row>
    <row r="151">
      <c r="A151" t="inlineStr">
        <is>
          <t>subject02</t>
        </is>
      </c>
      <c r="B151" t="n">
        <v>68</v>
      </c>
      <c r="C151" t="n">
        <v>335</v>
      </c>
      <c r="D151" t="n">
        <v>355</v>
      </c>
      <c r="E151" t="n">
        <v>1.2982</v>
      </c>
      <c r="F151" t="n">
        <v>77.89</v>
      </c>
      <c r="G151">
        <f>H151/60</f>
        <v/>
      </c>
      <c r="H151">
        <f>MEDIAN(I149,I150,I151,I152,I153)</f>
        <v/>
      </c>
      <c r="I151" t="n">
        <v>78</v>
      </c>
      <c r="J151">
        <f>H151-F151</f>
        <v/>
      </c>
      <c r="K151">
        <f>ABS(J151)</f>
        <v/>
      </c>
      <c r="L151">
        <f>K151/F151*100</f>
        <v/>
      </c>
    </row>
    <row r="152">
      <c r="A152" t="inlineStr">
        <is>
          <t>subject02</t>
        </is>
      </c>
      <c r="B152" t="n">
        <v>69</v>
      </c>
      <c r="C152" t="n">
        <v>340</v>
      </c>
      <c r="D152" t="n">
        <v>360</v>
      </c>
      <c r="E152" t="n">
        <v>1.3036</v>
      </c>
      <c r="F152" t="n">
        <v>78.22</v>
      </c>
      <c r="G152">
        <f>H152/60</f>
        <v/>
      </c>
      <c r="H152">
        <f>MEDIAN(I150,I151,I152,I153,I154)</f>
        <v/>
      </c>
      <c r="I152" t="n">
        <v>78</v>
      </c>
      <c r="J152">
        <f>H152-F152</f>
        <v/>
      </c>
      <c r="K152">
        <f>ABS(J152)</f>
        <v/>
      </c>
      <c r="L152">
        <f>K152/F152*100</f>
        <v/>
      </c>
    </row>
    <row r="153">
      <c r="A153" t="inlineStr">
        <is>
          <t>subject02</t>
        </is>
      </c>
      <c r="B153" t="n">
        <v>70</v>
      </c>
      <c r="C153" t="n">
        <v>345</v>
      </c>
      <c r="D153" t="n">
        <v>365</v>
      </c>
      <c r="E153" t="n">
        <v>1.3162</v>
      </c>
      <c r="F153" t="n">
        <v>78.97</v>
      </c>
      <c r="G153">
        <f>H153/60</f>
        <v/>
      </c>
      <c r="H153">
        <f>MEDIAN(I151,I152,I153,I154,I155)</f>
        <v/>
      </c>
      <c r="I153" t="n">
        <v>78</v>
      </c>
      <c r="J153">
        <f>H153-F153</f>
        <v/>
      </c>
      <c r="K153">
        <f>ABS(J153)</f>
        <v/>
      </c>
      <c r="L153">
        <f>K153/F153*100</f>
        <v/>
      </c>
    </row>
    <row r="154">
      <c r="A154" t="inlineStr">
        <is>
          <t>subject02</t>
        </is>
      </c>
      <c r="B154" t="n">
        <v>71</v>
      </c>
      <c r="C154" t="n">
        <v>350</v>
      </c>
      <c r="D154" t="n">
        <v>370</v>
      </c>
      <c r="E154" t="n">
        <v>1.3302</v>
      </c>
      <c r="F154" t="n">
        <v>79.81</v>
      </c>
      <c r="G154">
        <f>H154/60</f>
        <v/>
      </c>
      <c r="H154">
        <f>MEDIAN(I152,I153,I154,I155,I156)</f>
        <v/>
      </c>
      <c r="I154" t="n">
        <v>60</v>
      </c>
      <c r="J154">
        <f>H154-F154</f>
        <v/>
      </c>
      <c r="K154">
        <f>ABS(J154)</f>
        <v/>
      </c>
      <c r="L154">
        <f>K154/F154*100</f>
        <v/>
      </c>
    </row>
    <row r="155">
      <c r="A155" t="inlineStr">
        <is>
          <t>subject02</t>
        </is>
      </c>
      <c r="B155" t="n">
        <v>72</v>
      </c>
      <c r="C155" t="n">
        <v>355</v>
      </c>
      <c r="D155" t="n">
        <v>375</v>
      </c>
      <c r="E155" t="n">
        <v>1.337</v>
      </c>
      <c r="F155" t="n">
        <v>80.22</v>
      </c>
      <c r="G155">
        <f>H155/60</f>
        <v/>
      </c>
      <c r="H155">
        <f>MEDIAN(I153,I154,I155,I156,I157)</f>
        <v/>
      </c>
      <c r="I155" t="n">
        <v>84</v>
      </c>
      <c r="J155">
        <f>H155-F155</f>
        <v/>
      </c>
      <c r="K155">
        <f>ABS(J155)</f>
        <v/>
      </c>
      <c r="L155">
        <f>K155/F155*100</f>
        <v/>
      </c>
    </row>
    <row r="156">
      <c r="A156" t="inlineStr">
        <is>
          <t>subject02</t>
        </is>
      </c>
      <c r="B156" t="n">
        <v>73</v>
      </c>
      <c r="C156" t="n">
        <v>360</v>
      </c>
      <c r="D156" t="n">
        <v>380</v>
      </c>
      <c r="E156" t="n">
        <v>1.3438</v>
      </c>
      <c r="F156" t="n">
        <v>80.63</v>
      </c>
      <c r="G156">
        <f>H156/60</f>
        <v/>
      </c>
      <c r="H156">
        <f>MEDIAN(I154,I155,I156,I157,I158)</f>
        <v/>
      </c>
      <c r="I156" t="n">
        <v>78</v>
      </c>
      <c r="J156">
        <f>H156-F156</f>
        <v/>
      </c>
      <c r="K156">
        <f>ABS(J156)</f>
        <v/>
      </c>
      <c r="L156">
        <f>K156/F156*100</f>
        <v/>
      </c>
    </row>
    <row r="157">
      <c r="A157" t="inlineStr">
        <is>
          <t>subject02</t>
        </is>
      </c>
      <c r="B157" t="n">
        <v>74</v>
      </c>
      <c r="C157" t="n">
        <v>365</v>
      </c>
      <c r="D157" t="n">
        <v>385</v>
      </c>
      <c r="E157" t="n">
        <v>1.3302</v>
      </c>
      <c r="F157" t="n">
        <v>79.81</v>
      </c>
      <c r="G157">
        <f>H157/60</f>
        <v/>
      </c>
      <c r="H157">
        <f>MEDIAN(I155,I156,I157,I158,I159)</f>
        <v/>
      </c>
      <c r="I157" t="n">
        <v>81</v>
      </c>
      <c r="J157">
        <f>H157-F157</f>
        <v/>
      </c>
      <c r="K157">
        <f>ABS(J157)</f>
        <v/>
      </c>
      <c r="L157">
        <f>K157/F157*100</f>
        <v/>
      </c>
    </row>
    <row r="158">
      <c r="A158" t="inlineStr">
        <is>
          <t>subject02</t>
        </is>
      </c>
      <c r="B158" t="n">
        <v>75</v>
      </c>
      <c r="C158" t="n">
        <v>370</v>
      </c>
      <c r="D158" t="n">
        <v>390</v>
      </c>
      <c r="E158" t="n">
        <v>1.3141</v>
      </c>
      <c r="F158" t="n">
        <v>78.84</v>
      </c>
      <c r="G158">
        <f>H158/60</f>
        <v/>
      </c>
      <c r="H158">
        <f>MEDIAN(I156,I157,I158,I159,I160)</f>
        <v/>
      </c>
      <c r="I158" t="n">
        <v>57</v>
      </c>
      <c r="J158">
        <f>H158-F158</f>
        <v/>
      </c>
      <c r="K158">
        <f>ABS(J158)</f>
        <v/>
      </c>
      <c r="L158">
        <f>K158/F158*100</f>
        <v/>
      </c>
    </row>
    <row r="159">
      <c r="A159" t="inlineStr">
        <is>
          <t>subject02</t>
        </is>
      </c>
      <c r="B159" t="n">
        <v>76</v>
      </c>
      <c r="C159" t="n">
        <v>375</v>
      </c>
      <c r="D159" t="n">
        <v>395</v>
      </c>
      <c r="E159" t="n">
        <v>1.3255</v>
      </c>
      <c r="F159" t="n">
        <v>79.53</v>
      </c>
      <c r="G159">
        <f>H159/60</f>
        <v/>
      </c>
      <c r="H159">
        <f>MEDIAN(I157,I158,I159,I160,I161)</f>
        <v/>
      </c>
      <c r="I159" t="n">
        <v>78</v>
      </c>
      <c r="J159">
        <f>H159-F159</f>
        <v/>
      </c>
      <c r="K159">
        <f>ABS(J159)</f>
        <v/>
      </c>
      <c r="L159">
        <f>K159/F159*100</f>
        <v/>
      </c>
    </row>
    <row r="160">
      <c r="A160" t="inlineStr">
        <is>
          <t>subject02</t>
        </is>
      </c>
      <c r="B160" t="n">
        <v>77</v>
      </c>
      <c r="C160" t="n">
        <v>380</v>
      </c>
      <c r="D160" t="n">
        <v>400</v>
      </c>
      <c r="E160" t="n">
        <v>1.3363</v>
      </c>
      <c r="F160" t="n">
        <v>80.18000000000001</v>
      </c>
      <c r="G160">
        <f>H160/60</f>
        <v/>
      </c>
      <c r="H160">
        <f>MEDIAN(I158,I159,I160,I161,I162)</f>
        <v/>
      </c>
      <c r="I160" t="n">
        <v>81</v>
      </c>
      <c r="J160">
        <f>H160-F160</f>
        <v/>
      </c>
      <c r="K160">
        <f>ABS(J160)</f>
        <v/>
      </c>
      <c r="L160">
        <f>K160/F160*100</f>
        <v/>
      </c>
    </row>
    <row r="161">
      <c r="A161" t="inlineStr">
        <is>
          <t>subject02</t>
        </is>
      </c>
      <c r="B161" t="n">
        <v>78</v>
      </c>
      <c r="C161" t="n">
        <v>385</v>
      </c>
      <c r="D161" t="n">
        <v>405</v>
      </c>
      <c r="E161" t="n">
        <v>1.3547</v>
      </c>
      <c r="F161" t="n">
        <v>81.28</v>
      </c>
      <c r="G161">
        <f>H161/60</f>
        <v/>
      </c>
      <c r="H161">
        <f>MEDIAN(I159,I160,I161,I162,I163)</f>
        <v/>
      </c>
      <c r="I161" t="n">
        <v>57</v>
      </c>
      <c r="J161">
        <f>H161-F161</f>
        <v/>
      </c>
      <c r="K161">
        <f>ABS(J161)</f>
        <v/>
      </c>
      <c r="L161">
        <f>K161/F161*100</f>
        <v/>
      </c>
    </row>
    <row r="162">
      <c r="A162" t="inlineStr">
        <is>
          <t>subject02</t>
        </is>
      </c>
      <c r="B162" t="n">
        <v>79</v>
      </c>
      <c r="C162" t="n">
        <v>390</v>
      </c>
      <c r="D162" t="n">
        <v>410</v>
      </c>
      <c r="E162" t="n">
        <v>1.379</v>
      </c>
      <c r="F162" t="n">
        <v>82.73999999999999</v>
      </c>
      <c r="G162">
        <f>H162/60</f>
        <v/>
      </c>
      <c r="H162">
        <f>MEDIAN(I160,I161,I162,I163,I164)</f>
        <v/>
      </c>
      <c r="I162" t="n">
        <v>57</v>
      </c>
      <c r="J162">
        <f>H162-F162</f>
        <v/>
      </c>
      <c r="K162">
        <f>ABS(J162)</f>
        <v/>
      </c>
      <c r="L162">
        <f>K162/F162*100</f>
        <v/>
      </c>
    </row>
    <row r="163">
      <c r="A163" t="inlineStr">
        <is>
          <t>subject02</t>
        </is>
      </c>
      <c r="B163" t="n">
        <v>80</v>
      </c>
      <c r="C163" t="n">
        <v>395</v>
      </c>
      <c r="D163" t="n">
        <v>415</v>
      </c>
      <c r="E163" t="n">
        <v>1.3897</v>
      </c>
      <c r="F163" t="n">
        <v>83.38</v>
      </c>
      <c r="G163">
        <f>H163/60</f>
        <v/>
      </c>
      <c r="H163">
        <f>MEDIAN(I161,I162,I163,I164,I165)</f>
        <v/>
      </c>
      <c r="I163" t="n">
        <v>54</v>
      </c>
      <c r="J163">
        <f>H163-F163</f>
        <v/>
      </c>
      <c r="K163">
        <f>ABS(J163)</f>
        <v/>
      </c>
      <c r="L163">
        <f>K163/F163*100</f>
        <v/>
      </c>
    </row>
    <row r="164">
      <c r="A164" t="inlineStr">
        <is>
          <t>subject02</t>
        </is>
      </c>
      <c r="B164" t="n">
        <v>81</v>
      </c>
      <c r="C164" t="n">
        <v>400</v>
      </c>
      <c r="D164" t="n">
        <v>420</v>
      </c>
      <c r="E164" t="n">
        <v>1.3904</v>
      </c>
      <c r="F164" t="n">
        <v>83.42</v>
      </c>
      <c r="G164">
        <f>H164/60</f>
        <v/>
      </c>
      <c r="H164">
        <f>MEDIAN(I162,I163,I164,I165,0)</f>
        <v/>
      </c>
      <c r="I164" t="n">
        <v>54</v>
      </c>
      <c r="J164">
        <f>H164-F164</f>
        <v/>
      </c>
      <c r="K164">
        <f>ABS(J164)</f>
        <v/>
      </c>
      <c r="L164">
        <f>K164/F164*100</f>
        <v/>
      </c>
    </row>
    <row r="165">
      <c r="A165" t="inlineStr">
        <is>
          <t>subject02</t>
        </is>
      </c>
      <c r="B165" t="n">
        <v>82</v>
      </c>
      <c r="C165" t="n">
        <v>405</v>
      </c>
      <c r="D165" t="n">
        <v>425</v>
      </c>
      <c r="E165" t="n">
        <v>1.3934</v>
      </c>
      <c r="F165" t="n">
        <v>83.61</v>
      </c>
      <c r="G165">
        <f>H165/60</f>
        <v/>
      </c>
      <c r="H165">
        <f>MEDIAN(I163,I164,I165,0,0)</f>
        <v/>
      </c>
      <c r="I165" t="n">
        <v>84</v>
      </c>
      <c r="J165">
        <f>H165-F165</f>
        <v/>
      </c>
      <c r="K165">
        <f>ABS(J165)</f>
        <v/>
      </c>
      <c r="L165">
        <f>K165/F165*100</f>
        <v/>
      </c>
    </row>
    <row r="166">
      <c r="A166" t="inlineStr">
        <is>
          <t>subject03</t>
        </is>
      </c>
      <c r="B166" t="n">
        <v>1</v>
      </c>
      <c r="C166" t="n">
        <v>0</v>
      </c>
      <c r="D166" t="n">
        <v>20</v>
      </c>
      <c r="E166" t="n">
        <v>1.3241</v>
      </c>
      <c r="F166" t="n">
        <v>79.45</v>
      </c>
      <c r="G166">
        <f>H166/60</f>
        <v/>
      </c>
      <c r="H166">
        <f>MEDIAN(0,0,I166,I167,I168)</f>
        <v/>
      </c>
      <c r="I166" t="n">
        <v>102</v>
      </c>
      <c r="J166">
        <f>H166-F166</f>
        <v/>
      </c>
      <c r="K166">
        <f>ABS(J166)</f>
        <v/>
      </c>
      <c r="L166">
        <f>K166/F166*100</f>
        <v/>
      </c>
    </row>
    <row r="167">
      <c r="A167" t="inlineStr">
        <is>
          <t>subject03</t>
        </is>
      </c>
      <c r="B167" t="n">
        <v>2</v>
      </c>
      <c r="C167" t="n">
        <v>5</v>
      </c>
      <c r="D167" t="n">
        <v>25</v>
      </c>
      <c r="E167" t="n">
        <v>1.3133</v>
      </c>
      <c r="F167" t="n">
        <v>78.8</v>
      </c>
      <c r="G167">
        <f>H167/60</f>
        <v/>
      </c>
      <c r="H167">
        <f>MEDIAN(0,I166,I167,I168,I169)</f>
        <v/>
      </c>
      <c r="I167" t="n">
        <v>87</v>
      </c>
      <c r="J167">
        <f>H167-F167</f>
        <v/>
      </c>
      <c r="K167">
        <f>ABS(J167)</f>
        <v/>
      </c>
      <c r="L167">
        <f>K167/F167*100</f>
        <v/>
      </c>
    </row>
    <row r="168">
      <c r="A168" t="inlineStr">
        <is>
          <t>subject03</t>
        </is>
      </c>
      <c r="B168" t="n">
        <v>3</v>
      </c>
      <c r="C168" t="n">
        <v>10</v>
      </c>
      <c r="D168" t="n">
        <v>30</v>
      </c>
      <c r="E168" t="n">
        <v>1.302</v>
      </c>
      <c r="F168" t="n">
        <v>78.12</v>
      </c>
      <c r="G168">
        <f>H168/60</f>
        <v/>
      </c>
      <c r="H168">
        <f>MEDIAN(I166,I167,I168,I169,I170)</f>
        <v/>
      </c>
      <c r="I168" t="n">
        <v>78</v>
      </c>
      <c r="J168">
        <f>H168-F168</f>
        <v/>
      </c>
      <c r="K168">
        <f>ABS(J168)</f>
        <v/>
      </c>
      <c r="L168">
        <f>K168/F168*100</f>
        <v/>
      </c>
    </row>
    <row r="169">
      <c r="A169" t="inlineStr">
        <is>
          <t>subject03</t>
        </is>
      </c>
      <c r="B169" t="n">
        <v>4</v>
      </c>
      <c r="C169" t="n">
        <v>15</v>
      </c>
      <c r="D169" t="n">
        <v>35</v>
      </c>
      <c r="E169" t="n">
        <v>1.2963</v>
      </c>
      <c r="F169" t="n">
        <v>77.78</v>
      </c>
      <c r="G169">
        <f>H169/60</f>
        <v/>
      </c>
      <c r="H169">
        <f>MEDIAN(I167,I168,I169,I170,I171)</f>
        <v/>
      </c>
      <c r="I169" t="n">
        <v>75</v>
      </c>
      <c r="J169">
        <f>H169-F169</f>
        <v/>
      </c>
      <c r="K169">
        <f>ABS(J169)</f>
        <v/>
      </c>
      <c r="L169">
        <f>K169/F169*100</f>
        <v/>
      </c>
    </row>
    <row r="170">
      <c r="A170" t="inlineStr">
        <is>
          <t>subject03</t>
        </is>
      </c>
      <c r="B170" t="n">
        <v>5</v>
      </c>
      <c r="C170" t="n">
        <v>20</v>
      </c>
      <c r="D170" t="n">
        <v>40</v>
      </c>
      <c r="E170" t="n">
        <v>1.2965</v>
      </c>
      <c r="F170" t="n">
        <v>77.79000000000001</v>
      </c>
      <c r="G170">
        <f>H170/60</f>
        <v/>
      </c>
      <c r="H170">
        <f>MEDIAN(I168,I169,I170,I171,I172)</f>
        <v/>
      </c>
      <c r="I170" t="n">
        <v>69</v>
      </c>
      <c r="J170">
        <f>H170-F170</f>
        <v/>
      </c>
      <c r="K170">
        <f>ABS(J170)</f>
        <v/>
      </c>
      <c r="L170">
        <f>K170/F170*100</f>
        <v/>
      </c>
    </row>
    <row r="171">
      <c r="A171" t="inlineStr">
        <is>
          <t>subject03</t>
        </is>
      </c>
      <c r="B171" t="n">
        <v>6</v>
      </c>
      <c r="C171" t="n">
        <v>25</v>
      </c>
      <c r="D171" t="n">
        <v>45</v>
      </c>
      <c r="E171" t="n">
        <v>1.2902</v>
      </c>
      <c r="F171" t="n">
        <v>77.41</v>
      </c>
      <c r="G171">
        <f>H171/60</f>
        <v/>
      </c>
      <c r="H171">
        <f>MEDIAN(I169,I170,I171,I172,I173)</f>
        <v/>
      </c>
      <c r="I171" t="n">
        <v>57</v>
      </c>
      <c r="J171">
        <f>H171-F171</f>
        <v/>
      </c>
      <c r="K171">
        <f>ABS(J171)</f>
        <v/>
      </c>
      <c r="L171">
        <f>K171/F171*100</f>
        <v/>
      </c>
    </row>
    <row r="172">
      <c r="A172" t="inlineStr">
        <is>
          <t>subject03</t>
        </is>
      </c>
      <c r="B172" t="n">
        <v>7</v>
      </c>
      <c r="C172" t="n">
        <v>30</v>
      </c>
      <c r="D172" t="n">
        <v>50</v>
      </c>
      <c r="E172" t="n">
        <v>1.2866</v>
      </c>
      <c r="F172" t="n">
        <v>77.2</v>
      </c>
      <c r="G172">
        <f>H172/60</f>
        <v/>
      </c>
      <c r="H172">
        <f>MEDIAN(I170,I171,I172,I173,I174)</f>
        <v/>
      </c>
      <c r="I172" t="n">
        <v>57</v>
      </c>
      <c r="J172">
        <f>H172-F172</f>
        <v/>
      </c>
      <c r="K172">
        <f>ABS(J172)</f>
        <v/>
      </c>
      <c r="L172">
        <f>K172/F172*100</f>
        <v/>
      </c>
    </row>
    <row r="173">
      <c r="A173" t="inlineStr">
        <is>
          <t>subject03</t>
        </is>
      </c>
      <c r="B173" t="n">
        <v>8</v>
      </c>
      <c r="C173" t="n">
        <v>35</v>
      </c>
      <c r="D173" t="n">
        <v>55</v>
      </c>
      <c r="E173" t="n">
        <v>1.2855</v>
      </c>
      <c r="F173" t="n">
        <v>77.13</v>
      </c>
      <c r="G173">
        <f>H173/60</f>
        <v/>
      </c>
      <c r="H173">
        <f>MEDIAN(I171,I172,I173,I174,I175)</f>
        <v/>
      </c>
      <c r="I173" t="n">
        <v>75</v>
      </c>
      <c r="J173">
        <f>H173-F173</f>
        <v/>
      </c>
      <c r="K173">
        <f>ABS(J173)</f>
        <v/>
      </c>
      <c r="L173">
        <f>K173/F173*100</f>
        <v/>
      </c>
    </row>
    <row r="174">
      <c r="A174" t="inlineStr">
        <is>
          <t>subject03</t>
        </is>
      </c>
      <c r="B174" t="n">
        <v>9</v>
      </c>
      <c r="C174" t="n">
        <v>40</v>
      </c>
      <c r="D174" t="n">
        <v>60</v>
      </c>
      <c r="E174" t="n">
        <v>1.2816</v>
      </c>
      <c r="F174" t="n">
        <v>76.90000000000001</v>
      </c>
      <c r="G174">
        <f>H174/60</f>
        <v/>
      </c>
      <c r="H174">
        <f>MEDIAN(I172,I173,I174,I175,I176)</f>
        <v/>
      </c>
      <c r="I174" t="n">
        <v>75</v>
      </c>
      <c r="J174">
        <f>H174-F174</f>
        <v/>
      </c>
      <c r="K174">
        <f>ABS(J174)</f>
        <v/>
      </c>
      <c r="L174">
        <f>K174/F174*100</f>
        <v/>
      </c>
    </row>
    <row r="175">
      <c r="A175" t="inlineStr">
        <is>
          <t>subject03</t>
        </is>
      </c>
      <c r="B175" t="n">
        <v>10</v>
      </c>
      <c r="C175" t="n">
        <v>45</v>
      </c>
      <c r="D175" t="n">
        <v>65</v>
      </c>
      <c r="E175" t="n">
        <v>1.2816</v>
      </c>
      <c r="F175" t="n">
        <v>76.90000000000001</v>
      </c>
      <c r="G175">
        <f>H175/60</f>
        <v/>
      </c>
      <c r="H175">
        <f>MEDIAN(I173,I174,I175,I176,I177)</f>
        <v/>
      </c>
      <c r="I175" t="n">
        <v>51</v>
      </c>
      <c r="J175">
        <f>H175-F175</f>
        <v/>
      </c>
      <c r="K175">
        <f>ABS(J175)</f>
        <v/>
      </c>
      <c r="L175">
        <f>K175/F175*100</f>
        <v/>
      </c>
    </row>
    <row r="176">
      <c r="A176" t="inlineStr">
        <is>
          <t>subject03</t>
        </is>
      </c>
      <c r="B176" t="n">
        <v>11</v>
      </c>
      <c r="C176" t="n">
        <v>50</v>
      </c>
      <c r="D176" t="n">
        <v>70</v>
      </c>
      <c r="E176" t="n">
        <v>1.2869</v>
      </c>
      <c r="F176" t="n">
        <v>77.22</v>
      </c>
      <c r="G176">
        <f>H176/60</f>
        <v/>
      </c>
      <c r="H176">
        <f>MEDIAN(I174,I175,I176,I177,I178)</f>
        <v/>
      </c>
      <c r="I176" t="n">
        <v>66</v>
      </c>
      <c r="J176">
        <f>H176-F176</f>
        <v/>
      </c>
      <c r="K176">
        <f>ABS(J176)</f>
        <v/>
      </c>
      <c r="L176">
        <f>K176/F176*100</f>
        <v/>
      </c>
    </row>
    <row r="177">
      <c r="A177" t="inlineStr">
        <is>
          <t>subject03</t>
        </is>
      </c>
      <c r="B177" t="n">
        <v>12</v>
      </c>
      <c r="C177" t="n">
        <v>55</v>
      </c>
      <c r="D177" t="n">
        <v>75</v>
      </c>
      <c r="E177" t="n">
        <v>1.2941</v>
      </c>
      <c r="F177" t="n">
        <v>77.64</v>
      </c>
      <c r="G177">
        <f>H177/60</f>
        <v/>
      </c>
      <c r="H177">
        <f>MEDIAN(I175,I176,I177,I178,I179)</f>
        <v/>
      </c>
      <c r="I177" t="n">
        <v>63</v>
      </c>
      <c r="J177">
        <f>H177-F177</f>
        <v/>
      </c>
      <c r="K177">
        <f>ABS(J177)</f>
        <v/>
      </c>
      <c r="L177">
        <f>K177/F177*100</f>
        <v/>
      </c>
    </row>
    <row r="178">
      <c r="A178" t="inlineStr">
        <is>
          <t>subject03</t>
        </is>
      </c>
      <c r="B178" t="n">
        <v>13</v>
      </c>
      <c r="C178" t="n">
        <v>60</v>
      </c>
      <c r="D178" t="n">
        <v>80</v>
      </c>
      <c r="E178" t="n">
        <v>1.3016</v>
      </c>
      <c r="F178" t="n">
        <v>78.09999999999999</v>
      </c>
      <c r="G178">
        <f>H178/60</f>
        <v/>
      </c>
      <c r="H178">
        <f>MEDIAN(I176,I177,I178,I179,I180)</f>
        <v/>
      </c>
      <c r="I178" t="n">
        <v>63</v>
      </c>
      <c r="J178">
        <f>H178-F178</f>
        <v/>
      </c>
      <c r="K178">
        <f>ABS(J178)</f>
        <v/>
      </c>
      <c r="L178">
        <f>K178/F178*100</f>
        <v/>
      </c>
    </row>
    <row r="179">
      <c r="A179" t="inlineStr">
        <is>
          <t>subject03</t>
        </is>
      </c>
      <c r="B179" t="n">
        <v>14</v>
      </c>
      <c r="C179" t="n">
        <v>65</v>
      </c>
      <c r="D179" t="n">
        <v>85</v>
      </c>
      <c r="E179" t="n">
        <v>1.3183</v>
      </c>
      <c r="F179" t="n">
        <v>79.09999999999999</v>
      </c>
      <c r="G179">
        <f>H179/60</f>
        <v/>
      </c>
      <c r="H179">
        <f>MEDIAN(I177,I178,I179,I180,I181)</f>
        <v/>
      </c>
      <c r="I179" t="n">
        <v>66</v>
      </c>
      <c r="J179">
        <f>H179-F179</f>
        <v/>
      </c>
      <c r="K179">
        <f>ABS(J179)</f>
        <v/>
      </c>
      <c r="L179">
        <f>K179/F179*100</f>
        <v/>
      </c>
    </row>
    <row r="180">
      <c r="A180" t="inlineStr">
        <is>
          <t>subject03</t>
        </is>
      </c>
      <c r="B180" t="n">
        <v>15</v>
      </c>
      <c r="C180" t="n">
        <v>70</v>
      </c>
      <c r="D180" t="n">
        <v>90</v>
      </c>
      <c r="E180" t="n">
        <v>1.3264</v>
      </c>
      <c r="F180" t="n">
        <v>79.58</v>
      </c>
      <c r="G180">
        <f>H180/60</f>
        <v/>
      </c>
      <c r="H180">
        <f>MEDIAN(I178,I179,I180,I181,I182)</f>
        <v/>
      </c>
      <c r="I180" t="n">
        <v>69</v>
      </c>
      <c r="J180">
        <f>H180-F180</f>
        <v/>
      </c>
      <c r="K180">
        <f>ABS(J180)</f>
        <v/>
      </c>
      <c r="L180">
        <f>K180/F180*100</f>
        <v/>
      </c>
    </row>
    <row r="181">
      <c r="A181" t="inlineStr">
        <is>
          <t>subject03</t>
        </is>
      </c>
      <c r="B181" t="n">
        <v>16</v>
      </c>
      <c r="C181" t="n">
        <v>75</v>
      </c>
      <c r="D181" t="n">
        <v>95</v>
      </c>
      <c r="E181" t="n">
        <v>1.3258</v>
      </c>
      <c r="F181" t="n">
        <v>79.55</v>
      </c>
      <c r="G181">
        <f>H181/60</f>
        <v/>
      </c>
      <c r="H181">
        <f>MEDIAN(I179,I180,I181,I182,I183)</f>
        <v/>
      </c>
      <c r="I181" t="n">
        <v>63</v>
      </c>
      <c r="J181">
        <f>H181-F181</f>
        <v/>
      </c>
      <c r="K181">
        <f>ABS(J181)</f>
        <v/>
      </c>
      <c r="L181">
        <f>K181/F181*100</f>
        <v/>
      </c>
    </row>
    <row r="182">
      <c r="A182" t="inlineStr">
        <is>
          <t>subject03</t>
        </is>
      </c>
      <c r="B182" t="n">
        <v>17</v>
      </c>
      <c r="C182" t="n">
        <v>80</v>
      </c>
      <c r="D182" t="n">
        <v>100</v>
      </c>
      <c r="E182" t="n">
        <v>1.3183</v>
      </c>
      <c r="F182" t="n">
        <v>79.09999999999999</v>
      </c>
      <c r="G182">
        <f>H182/60</f>
        <v/>
      </c>
      <c r="H182">
        <f>MEDIAN(I180,I181,I182,I183,I184)</f>
        <v/>
      </c>
      <c r="I182" t="n">
        <v>60</v>
      </c>
      <c r="J182">
        <f>H182-F182</f>
        <v/>
      </c>
      <c r="K182">
        <f>ABS(J182)</f>
        <v/>
      </c>
      <c r="L182">
        <f>K182/F182*100</f>
        <v/>
      </c>
    </row>
    <row r="183">
      <c r="A183" t="inlineStr">
        <is>
          <t>subject03</t>
        </is>
      </c>
      <c r="B183" t="n">
        <v>18</v>
      </c>
      <c r="C183" t="n">
        <v>85</v>
      </c>
      <c r="D183" t="n">
        <v>105</v>
      </c>
      <c r="E183" t="n">
        <v>1.296</v>
      </c>
      <c r="F183" t="n">
        <v>77.76000000000001</v>
      </c>
      <c r="G183">
        <f>H183/60</f>
        <v/>
      </c>
      <c r="H183">
        <f>MEDIAN(I181,I182,I183,I184,I185)</f>
        <v/>
      </c>
      <c r="I183" t="n">
        <v>60</v>
      </c>
      <c r="J183">
        <f>H183-F183</f>
        <v/>
      </c>
      <c r="K183">
        <f>ABS(J183)</f>
        <v/>
      </c>
      <c r="L183">
        <f>K183/F183*100</f>
        <v/>
      </c>
    </row>
    <row r="184">
      <c r="A184" t="inlineStr">
        <is>
          <t>subject03</t>
        </is>
      </c>
      <c r="B184" t="n">
        <v>19</v>
      </c>
      <c r="C184" t="n">
        <v>90</v>
      </c>
      <c r="D184" t="n">
        <v>110</v>
      </c>
      <c r="E184" t="n">
        <v>1.2906</v>
      </c>
      <c r="F184" t="n">
        <v>77.44</v>
      </c>
      <c r="G184">
        <f>H184/60</f>
        <v/>
      </c>
      <c r="H184">
        <f>MEDIAN(I182,I183,I184,I185,I186)</f>
        <v/>
      </c>
      <c r="I184" t="n">
        <v>57</v>
      </c>
      <c r="J184">
        <f>H184-F184</f>
        <v/>
      </c>
      <c r="K184">
        <f>ABS(J184)</f>
        <v/>
      </c>
      <c r="L184">
        <f>K184/F184*100</f>
        <v/>
      </c>
    </row>
    <row r="185">
      <c r="A185" t="inlineStr">
        <is>
          <t>subject03</t>
        </is>
      </c>
      <c r="B185" t="n">
        <v>20</v>
      </c>
      <c r="C185" t="n">
        <v>95</v>
      </c>
      <c r="D185" t="n">
        <v>115</v>
      </c>
      <c r="E185" t="n">
        <v>1.307</v>
      </c>
      <c r="F185" t="n">
        <v>78.42</v>
      </c>
      <c r="G185">
        <f>H185/60</f>
        <v/>
      </c>
      <c r="H185">
        <f>MEDIAN(I183,I184,I185,I186,I187)</f>
        <v/>
      </c>
      <c r="I185" t="n">
        <v>57</v>
      </c>
      <c r="J185">
        <f>H185-F185</f>
        <v/>
      </c>
      <c r="K185">
        <f>ABS(J185)</f>
        <v/>
      </c>
      <c r="L185">
        <f>K185/F185*100</f>
        <v/>
      </c>
    </row>
    <row r="186">
      <c r="A186" t="inlineStr">
        <is>
          <t>subject03</t>
        </is>
      </c>
      <c r="B186" t="n">
        <v>21</v>
      </c>
      <c r="C186" t="n">
        <v>100</v>
      </c>
      <c r="D186" t="n">
        <v>120</v>
      </c>
      <c r="E186" t="n">
        <v>1.3186</v>
      </c>
      <c r="F186" t="n">
        <v>79.11</v>
      </c>
      <c r="G186">
        <f>H186/60</f>
        <v/>
      </c>
      <c r="H186">
        <f>MEDIAN(I184,I185,I186,I187,I188)</f>
        <v/>
      </c>
      <c r="I186" t="n">
        <v>57</v>
      </c>
      <c r="J186">
        <f>H186-F186</f>
        <v/>
      </c>
      <c r="K186">
        <f>ABS(J186)</f>
        <v/>
      </c>
      <c r="L186">
        <f>K186/F186*100</f>
        <v/>
      </c>
    </row>
    <row r="187">
      <c r="A187" t="inlineStr">
        <is>
          <t>subject03</t>
        </is>
      </c>
      <c r="B187" t="n">
        <v>22</v>
      </c>
      <c r="C187" t="n">
        <v>105</v>
      </c>
      <c r="D187" t="n">
        <v>125</v>
      </c>
      <c r="E187" t="n">
        <v>1.3288</v>
      </c>
      <c r="F187" t="n">
        <v>79.73</v>
      </c>
      <c r="G187">
        <f>H187/60</f>
        <v/>
      </c>
      <c r="H187">
        <f>MEDIAN(I185,I186,I187,I188,I189)</f>
        <v/>
      </c>
      <c r="I187" t="n">
        <v>81</v>
      </c>
      <c r="J187">
        <f>H187-F187</f>
        <v/>
      </c>
      <c r="K187">
        <f>ABS(J187)</f>
        <v/>
      </c>
      <c r="L187">
        <f>K187/F187*100</f>
        <v/>
      </c>
    </row>
    <row r="188">
      <c r="A188" t="inlineStr">
        <is>
          <t>subject03</t>
        </is>
      </c>
      <c r="B188" t="n">
        <v>23</v>
      </c>
      <c r="C188" t="n">
        <v>110</v>
      </c>
      <c r="D188" t="n">
        <v>130</v>
      </c>
      <c r="E188" t="n">
        <v>1.3248</v>
      </c>
      <c r="F188" t="n">
        <v>79.48999999999999</v>
      </c>
      <c r="G188">
        <f>H188/60</f>
        <v/>
      </c>
      <c r="H188">
        <f>MEDIAN(I186,I187,I188,I189,I190)</f>
        <v/>
      </c>
      <c r="I188" t="n">
        <v>81</v>
      </c>
      <c r="J188">
        <f>H188-F188</f>
        <v/>
      </c>
      <c r="K188">
        <f>ABS(J188)</f>
        <v/>
      </c>
      <c r="L188">
        <f>K188/F188*100</f>
        <v/>
      </c>
    </row>
    <row r="189">
      <c r="A189" t="inlineStr">
        <is>
          <t>subject03</t>
        </is>
      </c>
      <c r="B189" t="n">
        <v>24</v>
      </c>
      <c r="C189" t="n">
        <v>115</v>
      </c>
      <c r="D189" t="n">
        <v>135</v>
      </c>
      <c r="E189" t="n">
        <v>1.3</v>
      </c>
      <c r="F189" t="n">
        <v>78</v>
      </c>
      <c r="G189">
        <f>H189/60</f>
        <v/>
      </c>
      <c r="H189">
        <f>MEDIAN(I187,I188,I189,I190,I191)</f>
        <v/>
      </c>
      <c r="I189" t="n">
        <v>84</v>
      </c>
      <c r="J189">
        <f>H189-F189</f>
        <v/>
      </c>
      <c r="K189">
        <f>ABS(J189)</f>
        <v/>
      </c>
      <c r="L189">
        <f>K189/F189*100</f>
        <v/>
      </c>
    </row>
    <row r="190">
      <c r="A190" t="inlineStr">
        <is>
          <t>subject03</t>
        </is>
      </c>
      <c r="B190" t="n">
        <v>25</v>
      </c>
      <c r="C190" t="n">
        <v>120</v>
      </c>
      <c r="D190" t="n">
        <v>140</v>
      </c>
      <c r="E190" t="n">
        <v>1.2944</v>
      </c>
      <c r="F190" t="n">
        <v>77.67</v>
      </c>
      <c r="G190">
        <f>H190/60</f>
        <v/>
      </c>
      <c r="H190">
        <f>MEDIAN(I188,I189,I190,I191,I192)</f>
        <v/>
      </c>
      <c r="I190" t="n">
        <v>66</v>
      </c>
      <c r="J190">
        <f>H190-F190</f>
        <v/>
      </c>
      <c r="K190">
        <f>ABS(J190)</f>
        <v/>
      </c>
      <c r="L190">
        <f>K190/F190*100</f>
        <v/>
      </c>
    </row>
    <row r="191">
      <c r="A191" t="inlineStr">
        <is>
          <t>subject03</t>
        </is>
      </c>
      <c r="B191" t="n">
        <v>26</v>
      </c>
      <c r="C191" t="n">
        <v>125</v>
      </c>
      <c r="D191" t="n">
        <v>145</v>
      </c>
      <c r="E191" t="n">
        <v>1.2983</v>
      </c>
      <c r="F191" t="n">
        <v>77.90000000000001</v>
      </c>
      <c r="G191">
        <f>H191/60</f>
        <v/>
      </c>
      <c r="H191">
        <f>MEDIAN(I189,I190,I191,I192,I193)</f>
        <v/>
      </c>
      <c r="I191" t="n">
        <v>66</v>
      </c>
      <c r="J191">
        <f>H191-F191</f>
        <v/>
      </c>
      <c r="K191">
        <f>ABS(J191)</f>
        <v/>
      </c>
      <c r="L191">
        <f>K191/F191*100</f>
        <v/>
      </c>
    </row>
    <row r="192">
      <c r="A192" t="inlineStr">
        <is>
          <t>subject03</t>
        </is>
      </c>
      <c r="B192" t="n">
        <v>27</v>
      </c>
      <c r="C192" t="n">
        <v>130</v>
      </c>
      <c r="D192" t="n">
        <v>150</v>
      </c>
      <c r="E192" t="n">
        <v>1.3004</v>
      </c>
      <c r="F192" t="n">
        <v>78.02</v>
      </c>
      <c r="G192">
        <f>H192/60</f>
        <v/>
      </c>
      <c r="H192">
        <f>MEDIAN(I190,I191,I192,I193,I194)</f>
        <v/>
      </c>
      <c r="I192" t="n">
        <v>81</v>
      </c>
      <c r="J192">
        <f>H192-F192</f>
        <v/>
      </c>
      <c r="K192">
        <f>ABS(J192)</f>
        <v/>
      </c>
      <c r="L192">
        <f>K192/F192*100</f>
        <v/>
      </c>
    </row>
    <row r="193">
      <c r="A193" t="inlineStr">
        <is>
          <t>subject03</t>
        </is>
      </c>
      <c r="B193" t="n">
        <v>28</v>
      </c>
      <c r="C193" t="n">
        <v>135</v>
      </c>
      <c r="D193" t="n">
        <v>155</v>
      </c>
      <c r="E193" t="n">
        <v>1.3108</v>
      </c>
      <c r="F193" t="n">
        <v>78.65000000000001</v>
      </c>
      <c r="G193">
        <f>H193/60</f>
        <v/>
      </c>
      <c r="H193">
        <f>MEDIAN(I191,I192,I193,I194,I195)</f>
        <v/>
      </c>
      <c r="I193" t="n">
        <v>81</v>
      </c>
      <c r="J193">
        <f>H193-F193</f>
        <v/>
      </c>
      <c r="K193">
        <f>ABS(J193)</f>
        <v/>
      </c>
      <c r="L193">
        <f>K193/F193*100</f>
        <v/>
      </c>
    </row>
    <row r="194">
      <c r="A194" t="inlineStr">
        <is>
          <t>subject03</t>
        </is>
      </c>
      <c r="B194" t="n">
        <v>29</v>
      </c>
      <c r="C194" t="n">
        <v>140</v>
      </c>
      <c r="D194" t="n">
        <v>160</v>
      </c>
      <c r="E194" t="n">
        <v>1.3149</v>
      </c>
      <c r="F194" t="n">
        <v>78.90000000000001</v>
      </c>
      <c r="G194">
        <f>H194/60</f>
        <v/>
      </c>
      <c r="H194">
        <f>MEDIAN(I192,I193,I194,I195,I196)</f>
        <v/>
      </c>
      <c r="I194" t="n">
        <v>81</v>
      </c>
      <c r="J194">
        <f>H194-F194</f>
        <v/>
      </c>
      <c r="K194">
        <f>ABS(J194)</f>
        <v/>
      </c>
      <c r="L194">
        <f>K194/F194*100</f>
        <v/>
      </c>
    </row>
    <row r="195">
      <c r="A195" t="inlineStr">
        <is>
          <t>subject03</t>
        </is>
      </c>
      <c r="B195" t="n">
        <v>30</v>
      </c>
      <c r="C195" t="n">
        <v>145</v>
      </c>
      <c r="D195" t="n">
        <v>165</v>
      </c>
      <c r="E195" t="n">
        <v>1.315</v>
      </c>
      <c r="F195" t="n">
        <v>78.90000000000001</v>
      </c>
      <c r="G195">
        <f>H195/60</f>
        <v/>
      </c>
      <c r="H195">
        <f>MEDIAN(I193,I194,I195,I196,I197)</f>
        <v/>
      </c>
      <c r="I195" t="n">
        <v>87</v>
      </c>
      <c r="J195">
        <f>H195-F195</f>
        <v/>
      </c>
      <c r="K195">
        <f>ABS(J195)</f>
        <v/>
      </c>
      <c r="L195">
        <f>K195/F195*100</f>
        <v/>
      </c>
    </row>
    <row r="196">
      <c r="A196" t="inlineStr">
        <is>
          <t>subject03</t>
        </is>
      </c>
      <c r="B196" t="n">
        <v>31</v>
      </c>
      <c r="C196" t="n">
        <v>150</v>
      </c>
      <c r="D196" t="n">
        <v>170</v>
      </c>
      <c r="E196" t="n">
        <v>1.3227</v>
      </c>
      <c r="F196" t="n">
        <v>79.36</v>
      </c>
      <c r="G196">
        <f>H196/60</f>
        <v/>
      </c>
      <c r="H196">
        <f>MEDIAN(I194,I195,I196,I197,I198)</f>
        <v/>
      </c>
      <c r="I196" t="n">
        <v>87</v>
      </c>
      <c r="J196">
        <f>H196-F196</f>
        <v/>
      </c>
      <c r="K196">
        <f>ABS(J196)</f>
        <v/>
      </c>
      <c r="L196">
        <f>K196/F196*100</f>
        <v/>
      </c>
    </row>
    <row r="197">
      <c r="A197" t="inlineStr">
        <is>
          <t>subject03</t>
        </is>
      </c>
      <c r="B197" t="n">
        <v>32</v>
      </c>
      <c r="C197" t="n">
        <v>155</v>
      </c>
      <c r="D197" t="n">
        <v>175</v>
      </c>
      <c r="E197" t="n">
        <v>1.3266</v>
      </c>
      <c r="F197" t="n">
        <v>79.59999999999999</v>
      </c>
      <c r="G197">
        <f>H197/60</f>
        <v/>
      </c>
      <c r="H197">
        <f>MEDIAN(I195,I196,I197,I198,I199)</f>
        <v/>
      </c>
      <c r="I197" t="n">
        <v>57</v>
      </c>
      <c r="J197">
        <f>H197-F197</f>
        <v/>
      </c>
      <c r="K197">
        <f>ABS(J197)</f>
        <v/>
      </c>
      <c r="L197">
        <f>K197/F197*100</f>
        <v/>
      </c>
    </row>
    <row r="198">
      <c r="A198" t="inlineStr">
        <is>
          <t>subject03</t>
        </is>
      </c>
      <c r="B198" t="n">
        <v>33</v>
      </c>
      <c r="C198" t="n">
        <v>160</v>
      </c>
      <c r="D198" t="n">
        <v>180</v>
      </c>
      <c r="E198" t="n">
        <v>1.3274</v>
      </c>
      <c r="F198" t="n">
        <v>79.65000000000001</v>
      </c>
      <c r="G198">
        <f>H198/60</f>
        <v/>
      </c>
      <c r="H198">
        <f>MEDIAN(I196,I197,I198,I199,I200)</f>
        <v/>
      </c>
      <c r="I198" t="n">
        <v>99</v>
      </c>
      <c r="J198">
        <f>H198-F198</f>
        <v/>
      </c>
      <c r="K198">
        <f>ABS(J198)</f>
        <v/>
      </c>
      <c r="L198">
        <f>K198/F198*100</f>
        <v/>
      </c>
    </row>
    <row r="199">
      <c r="A199" t="inlineStr">
        <is>
          <t>subject03</t>
        </is>
      </c>
      <c r="B199" t="n">
        <v>34</v>
      </c>
      <c r="C199" t="n">
        <v>165</v>
      </c>
      <c r="D199" t="n">
        <v>185</v>
      </c>
      <c r="E199" t="n">
        <v>1.3287</v>
      </c>
      <c r="F199" t="n">
        <v>79.72</v>
      </c>
      <c r="G199">
        <f>H199/60</f>
        <v/>
      </c>
      <c r="H199">
        <f>MEDIAN(I197,I198,I199,I200,I201)</f>
        <v/>
      </c>
      <c r="I199" t="n">
        <v>99</v>
      </c>
      <c r="J199">
        <f>H199-F199</f>
        <v/>
      </c>
      <c r="K199">
        <f>ABS(J199)</f>
        <v/>
      </c>
      <c r="L199">
        <f>K199/F199*100</f>
        <v/>
      </c>
    </row>
    <row r="200">
      <c r="A200" t="inlineStr">
        <is>
          <t>subject03</t>
        </is>
      </c>
      <c r="B200" t="n">
        <v>35</v>
      </c>
      <c r="C200" t="n">
        <v>170</v>
      </c>
      <c r="D200" t="n">
        <v>190</v>
      </c>
      <c r="E200" t="n">
        <v>1.3255</v>
      </c>
      <c r="F200" t="n">
        <v>79.53</v>
      </c>
      <c r="G200">
        <f>H200/60</f>
        <v/>
      </c>
      <c r="H200">
        <f>MEDIAN(I198,I199,I200,I201,I202)</f>
        <v/>
      </c>
      <c r="I200" t="n">
        <v>72</v>
      </c>
      <c r="J200">
        <f>H200-F200</f>
        <v/>
      </c>
      <c r="K200">
        <f>ABS(J200)</f>
        <v/>
      </c>
      <c r="L200">
        <f>K200/F200*100</f>
        <v/>
      </c>
    </row>
    <row r="201">
      <c r="A201" t="inlineStr">
        <is>
          <t>subject03</t>
        </is>
      </c>
      <c r="B201" t="n">
        <v>36</v>
      </c>
      <c r="C201" t="n">
        <v>175</v>
      </c>
      <c r="D201" t="n">
        <v>195</v>
      </c>
      <c r="E201" t="n">
        <v>1.3213</v>
      </c>
      <c r="F201" t="n">
        <v>79.28</v>
      </c>
      <c r="G201">
        <f>H201/60</f>
        <v/>
      </c>
      <c r="H201">
        <f>MEDIAN(I199,I200,I201,I202,I203)</f>
        <v/>
      </c>
      <c r="I201" t="n">
        <v>81</v>
      </c>
      <c r="J201">
        <f>H201-F201</f>
        <v/>
      </c>
      <c r="K201">
        <f>ABS(J201)</f>
        <v/>
      </c>
      <c r="L201">
        <f>K201/F201*100</f>
        <v/>
      </c>
    </row>
    <row r="202">
      <c r="A202" t="inlineStr">
        <is>
          <t>subject03</t>
        </is>
      </c>
      <c r="B202" t="n">
        <v>37</v>
      </c>
      <c r="C202" t="n">
        <v>180</v>
      </c>
      <c r="D202" t="n">
        <v>200</v>
      </c>
      <c r="E202" t="n">
        <v>1.3114</v>
      </c>
      <c r="F202" t="n">
        <v>78.68000000000001</v>
      </c>
      <c r="G202">
        <f>H202/60</f>
        <v/>
      </c>
      <c r="H202">
        <f>MEDIAN(I200,I201,I202,I203,I204)</f>
        <v/>
      </c>
      <c r="I202" t="n">
        <v>81</v>
      </c>
      <c r="J202">
        <f>H202-F202</f>
        <v/>
      </c>
      <c r="K202">
        <f>ABS(J202)</f>
        <v/>
      </c>
      <c r="L202">
        <f>K202/F202*100</f>
        <v/>
      </c>
    </row>
    <row r="203">
      <c r="A203" t="inlineStr">
        <is>
          <t>subject03</t>
        </is>
      </c>
      <c r="B203" t="n">
        <v>38</v>
      </c>
      <c r="C203" t="n">
        <v>185</v>
      </c>
      <c r="D203" t="n">
        <v>205</v>
      </c>
      <c r="E203" t="n">
        <v>1.3055</v>
      </c>
      <c r="F203" t="n">
        <v>78.33</v>
      </c>
      <c r="G203">
        <f>H203/60</f>
        <v/>
      </c>
      <c r="H203">
        <f>MEDIAN(I201,I202,I203,I204,I205)</f>
        <v/>
      </c>
      <c r="I203" t="n">
        <v>66</v>
      </c>
      <c r="J203">
        <f>H203-F203</f>
        <v/>
      </c>
      <c r="K203">
        <f>ABS(J203)</f>
        <v/>
      </c>
      <c r="L203">
        <f>K203/F203*100</f>
        <v/>
      </c>
    </row>
    <row r="204">
      <c r="A204" t="inlineStr">
        <is>
          <t>subject03</t>
        </is>
      </c>
      <c r="B204" t="n">
        <v>39</v>
      </c>
      <c r="C204" t="n">
        <v>190</v>
      </c>
      <c r="D204" t="n">
        <v>210</v>
      </c>
      <c r="E204" t="n">
        <v>1.2997</v>
      </c>
      <c r="F204" t="n">
        <v>77.98</v>
      </c>
      <c r="G204">
        <f>H204/60</f>
        <v/>
      </c>
      <c r="H204">
        <f>MEDIAN(I202,I203,I204,I205,I206)</f>
        <v/>
      </c>
      <c r="I204" t="n">
        <v>60</v>
      </c>
      <c r="J204">
        <f>H204-F204</f>
        <v/>
      </c>
      <c r="K204">
        <f>ABS(J204)</f>
        <v/>
      </c>
      <c r="L204">
        <f>K204/F204*100</f>
        <v/>
      </c>
    </row>
    <row r="205">
      <c r="A205" t="inlineStr">
        <is>
          <t>subject03</t>
        </is>
      </c>
      <c r="B205" t="n">
        <v>40</v>
      </c>
      <c r="C205" t="n">
        <v>195</v>
      </c>
      <c r="D205" t="n">
        <v>215</v>
      </c>
      <c r="E205" t="n">
        <v>1.2938</v>
      </c>
      <c r="F205" t="n">
        <v>77.63</v>
      </c>
      <c r="G205">
        <f>H205/60</f>
        <v/>
      </c>
      <c r="H205">
        <f>MEDIAN(I203,I204,I205,I206,I207)</f>
        <v/>
      </c>
      <c r="I205" t="n">
        <v>99</v>
      </c>
      <c r="J205">
        <f>H205-F205</f>
        <v/>
      </c>
      <c r="K205">
        <f>ABS(J205)</f>
        <v/>
      </c>
      <c r="L205">
        <f>K205/F205*100</f>
        <v/>
      </c>
    </row>
    <row r="206">
      <c r="A206" t="inlineStr">
        <is>
          <t>subject03</t>
        </is>
      </c>
      <c r="B206" t="n">
        <v>41</v>
      </c>
      <c r="C206" t="n">
        <v>200</v>
      </c>
      <c r="D206" t="n">
        <v>220</v>
      </c>
      <c r="E206" t="n">
        <v>1.297</v>
      </c>
      <c r="F206" t="n">
        <v>77.81999999999999</v>
      </c>
      <c r="G206">
        <f>H206/60</f>
        <v/>
      </c>
      <c r="H206">
        <f>MEDIAN(I204,I205,I206,I207,I208)</f>
        <v/>
      </c>
      <c r="I206" t="n">
        <v>57</v>
      </c>
      <c r="J206">
        <f>H206-F206</f>
        <v/>
      </c>
      <c r="K206">
        <f>ABS(J206)</f>
        <v/>
      </c>
      <c r="L206">
        <f>K206/F206*100</f>
        <v/>
      </c>
    </row>
    <row r="207">
      <c r="A207" t="inlineStr">
        <is>
          <t>subject03</t>
        </is>
      </c>
      <c r="B207" t="n">
        <v>42</v>
      </c>
      <c r="C207" t="n">
        <v>205</v>
      </c>
      <c r="D207" t="n">
        <v>225</v>
      </c>
      <c r="E207" t="n">
        <v>1.2965</v>
      </c>
      <c r="F207" t="n">
        <v>77.79000000000001</v>
      </c>
      <c r="G207">
        <f>H207/60</f>
        <v/>
      </c>
      <c r="H207">
        <f>MEDIAN(I205,I206,I207,I208,I209)</f>
        <v/>
      </c>
      <c r="I207" t="n">
        <v>87</v>
      </c>
      <c r="J207">
        <f>H207-F207</f>
        <v/>
      </c>
      <c r="K207">
        <f>ABS(J207)</f>
        <v/>
      </c>
      <c r="L207">
        <f>K207/F207*100</f>
        <v/>
      </c>
    </row>
    <row r="208">
      <c r="A208" t="inlineStr">
        <is>
          <t>subject03</t>
        </is>
      </c>
      <c r="B208" t="n">
        <v>43</v>
      </c>
      <c r="C208" t="n">
        <v>210</v>
      </c>
      <c r="D208" t="n">
        <v>230</v>
      </c>
      <c r="E208" t="n">
        <v>1.2937</v>
      </c>
      <c r="F208" t="n">
        <v>77.62</v>
      </c>
      <c r="G208">
        <f>H208/60</f>
        <v/>
      </c>
      <c r="H208">
        <f>MEDIAN(I206,I207,I208,I209,I210)</f>
        <v/>
      </c>
      <c r="I208" t="n">
        <v>90</v>
      </c>
      <c r="J208">
        <f>H208-F208</f>
        <v/>
      </c>
      <c r="K208">
        <f>ABS(J208)</f>
        <v/>
      </c>
      <c r="L208">
        <f>K208/F208*100</f>
        <v/>
      </c>
    </row>
    <row r="209">
      <c r="A209" t="inlineStr">
        <is>
          <t>subject03</t>
        </is>
      </c>
      <c r="B209" t="n">
        <v>44</v>
      </c>
      <c r="C209" t="n">
        <v>215</v>
      </c>
      <c r="D209" t="n">
        <v>235</v>
      </c>
      <c r="E209" t="n">
        <v>1.2875</v>
      </c>
      <c r="F209" t="n">
        <v>77.25</v>
      </c>
      <c r="G209">
        <f>H209/60</f>
        <v/>
      </c>
      <c r="H209">
        <f>MEDIAN(I207,I208,I209,I210,I211)</f>
        <v/>
      </c>
      <c r="I209" t="n">
        <v>90</v>
      </c>
      <c r="J209">
        <f>H209-F209</f>
        <v/>
      </c>
      <c r="K209">
        <f>ABS(J209)</f>
        <v/>
      </c>
      <c r="L209">
        <f>K209/F209*100</f>
        <v/>
      </c>
    </row>
    <row r="210">
      <c r="A210" t="inlineStr">
        <is>
          <t>subject03</t>
        </is>
      </c>
      <c r="B210" t="n">
        <v>45</v>
      </c>
      <c r="C210" t="n">
        <v>220</v>
      </c>
      <c r="D210" t="n">
        <v>240</v>
      </c>
      <c r="E210" t="n">
        <v>1.2905</v>
      </c>
      <c r="F210" t="n">
        <v>77.43000000000001</v>
      </c>
      <c r="G210">
        <f>H210/60</f>
        <v/>
      </c>
      <c r="H210">
        <f>MEDIAN(I208,I209,I210,I211,I212)</f>
        <v/>
      </c>
      <c r="I210" t="n">
        <v>57</v>
      </c>
      <c r="J210">
        <f>H210-F210</f>
        <v/>
      </c>
      <c r="K210">
        <f>ABS(J210)</f>
        <v/>
      </c>
      <c r="L210">
        <f>K210/F210*100</f>
        <v/>
      </c>
    </row>
    <row r="211">
      <c r="A211" t="inlineStr">
        <is>
          <t>subject03</t>
        </is>
      </c>
      <c r="B211" t="n">
        <v>46</v>
      </c>
      <c r="C211" t="n">
        <v>225</v>
      </c>
      <c r="D211" t="n">
        <v>245</v>
      </c>
      <c r="E211" t="n">
        <v>1.2974</v>
      </c>
      <c r="F211" t="n">
        <v>77.84999999999999</v>
      </c>
      <c r="G211">
        <f>H211/60</f>
        <v/>
      </c>
      <c r="H211">
        <f>MEDIAN(I209,I210,I211,I212,I213)</f>
        <v/>
      </c>
      <c r="I211" t="n">
        <v>57</v>
      </c>
      <c r="J211">
        <f>H211-F211</f>
        <v/>
      </c>
      <c r="K211">
        <f>ABS(J211)</f>
        <v/>
      </c>
      <c r="L211">
        <f>K211/F211*100</f>
        <v/>
      </c>
    </row>
    <row r="212">
      <c r="A212" t="inlineStr">
        <is>
          <t>subject03</t>
        </is>
      </c>
      <c r="B212" t="n">
        <v>47</v>
      </c>
      <c r="C212" t="n">
        <v>230</v>
      </c>
      <c r="D212" t="n">
        <v>250</v>
      </c>
      <c r="E212" t="n">
        <v>1.3146</v>
      </c>
      <c r="F212" t="n">
        <v>78.87</v>
      </c>
      <c r="G212">
        <f>H212/60</f>
        <v/>
      </c>
      <c r="H212">
        <f>MEDIAN(I210,I211,I212,I213,I214)</f>
        <v/>
      </c>
      <c r="I212" t="n">
        <v>84</v>
      </c>
      <c r="J212">
        <f>H212-F212</f>
        <v/>
      </c>
      <c r="K212">
        <f>ABS(J212)</f>
        <v/>
      </c>
      <c r="L212">
        <f>K212/F212*100</f>
        <v/>
      </c>
    </row>
    <row r="213">
      <c r="A213" t="inlineStr">
        <is>
          <t>subject03</t>
        </is>
      </c>
      <c r="B213" t="n">
        <v>48</v>
      </c>
      <c r="C213" t="n">
        <v>235</v>
      </c>
      <c r="D213" t="n">
        <v>255</v>
      </c>
      <c r="E213" t="n">
        <v>1.3262</v>
      </c>
      <c r="F213" t="n">
        <v>79.56999999999999</v>
      </c>
      <c r="G213">
        <f>H213/60</f>
        <v/>
      </c>
      <c r="H213">
        <f>MEDIAN(I211,I212,I213,I214,I215)</f>
        <v/>
      </c>
      <c r="I213" t="n">
        <v>57</v>
      </c>
      <c r="J213">
        <f>H213-F213</f>
        <v/>
      </c>
      <c r="K213">
        <f>ABS(J213)</f>
        <v/>
      </c>
      <c r="L213">
        <f>K213/F213*100</f>
        <v/>
      </c>
    </row>
    <row r="214">
      <c r="A214" t="inlineStr">
        <is>
          <t>subject03</t>
        </is>
      </c>
      <c r="B214" t="n">
        <v>49</v>
      </c>
      <c r="C214" t="n">
        <v>240</v>
      </c>
      <c r="D214" t="n">
        <v>260</v>
      </c>
      <c r="E214" t="n">
        <v>1.3282</v>
      </c>
      <c r="F214" t="n">
        <v>79.69</v>
      </c>
      <c r="G214">
        <f>H214/60</f>
        <v/>
      </c>
      <c r="H214">
        <f>MEDIAN(I212,I213,I214,I215,I216)</f>
        <v/>
      </c>
      <c r="I214" t="n">
        <v>57</v>
      </c>
      <c r="J214">
        <f>H214-F214</f>
        <v/>
      </c>
      <c r="K214">
        <f>ABS(J214)</f>
        <v/>
      </c>
      <c r="L214">
        <f>K214/F214*100</f>
        <v/>
      </c>
    </row>
    <row r="215">
      <c r="A215" t="inlineStr">
        <is>
          <t>subject03</t>
        </is>
      </c>
      <c r="B215" t="n">
        <v>50</v>
      </c>
      <c r="C215" t="n">
        <v>245</v>
      </c>
      <c r="D215" t="n">
        <v>265</v>
      </c>
      <c r="E215" t="n">
        <v>1.3314</v>
      </c>
      <c r="F215" t="n">
        <v>79.88</v>
      </c>
      <c r="G215">
        <f>H215/60</f>
        <v/>
      </c>
      <c r="H215">
        <f>MEDIAN(I213,I214,I215,I216,I217)</f>
        <v/>
      </c>
      <c r="I215" t="n">
        <v>114</v>
      </c>
      <c r="J215">
        <f>H215-F215</f>
        <v/>
      </c>
      <c r="K215">
        <f>ABS(J215)</f>
        <v/>
      </c>
      <c r="L215">
        <f>K215/F215*100</f>
        <v/>
      </c>
    </row>
    <row r="216">
      <c r="A216" t="inlineStr">
        <is>
          <t>subject03</t>
        </is>
      </c>
      <c r="B216" t="n">
        <v>51</v>
      </c>
      <c r="C216" t="n">
        <v>250</v>
      </c>
      <c r="D216" t="n">
        <v>270</v>
      </c>
      <c r="E216" t="n">
        <v>1.3272</v>
      </c>
      <c r="F216" t="n">
        <v>79.63</v>
      </c>
      <c r="G216">
        <f>H216/60</f>
        <v/>
      </c>
      <c r="H216">
        <f>MEDIAN(I214,I215,I216,I217,I218)</f>
        <v/>
      </c>
      <c r="I216" t="n">
        <v>99</v>
      </c>
      <c r="J216">
        <f>H216-F216</f>
        <v/>
      </c>
      <c r="K216">
        <f>ABS(J216)</f>
        <v/>
      </c>
      <c r="L216">
        <f>K216/F216*100</f>
        <v/>
      </c>
    </row>
    <row r="217">
      <c r="A217" t="inlineStr">
        <is>
          <t>subject03</t>
        </is>
      </c>
      <c r="B217" t="n">
        <v>52</v>
      </c>
      <c r="C217" t="n">
        <v>255</v>
      </c>
      <c r="D217" t="n">
        <v>275</v>
      </c>
      <c r="E217" t="n">
        <v>1.3346</v>
      </c>
      <c r="F217" t="n">
        <v>80.08</v>
      </c>
      <c r="G217">
        <f>H217/60</f>
        <v/>
      </c>
      <c r="H217">
        <f>MEDIAN(I215,I216,I217,I218,I219)</f>
        <v/>
      </c>
      <c r="I217" t="n">
        <v>99</v>
      </c>
      <c r="J217">
        <f>H217-F217</f>
        <v/>
      </c>
      <c r="K217">
        <f>ABS(J217)</f>
        <v/>
      </c>
      <c r="L217">
        <f>K217/F217*100</f>
        <v/>
      </c>
    </row>
    <row r="218">
      <c r="A218" t="inlineStr">
        <is>
          <t>subject03</t>
        </is>
      </c>
      <c r="B218" t="n">
        <v>53</v>
      </c>
      <c r="C218" t="n">
        <v>260</v>
      </c>
      <c r="D218" t="n">
        <v>280</v>
      </c>
      <c r="E218" t="n">
        <v>1.3361</v>
      </c>
      <c r="F218" t="n">
        <v>80.16</v>
      </c>
      <c r="G218">
        <f>H218/60</f>
        <v/>
      </c>
      <c r="H218">
        <f>MEDIAN(I216,I217,I218,I219,I220)</f>
        <v/>
      </c>
      <c r="I218" t="n">
        <v>63</v>
      </c>
      <c r="J218">
        <f>H218-F218</f>
        <v/>
      </c>
      <c r="K218">
        <f>ABS(J218)</f>
        <v/>
      </c>
      <c r="L218">
        <f>K218/F218*100</f>
        <v/>
      </c>
    </row>
    <row r="219">
      <c r="A219" t="inlineStr">
        <is>
          <t>subject03</t>
        </is>
      </c>
      <c r="B219" t="n">
        <v>54</v>
      </c>
      <c r="C219" t="n">
        <v>265</v>
      </c>
      <c r="D219" t="n">
        <v>285</v>
      </c>
      <c r="E219" t="n">
        <v>1.3267</v>
      </c>
      <c r="F219" t="n">
        <v>79.59999999999999</v>
      </c>
      <c r="G219">
        <f>H219/60</f>
        <v/>
      </c>
      <c r="H219">
        <f>MEDIAN(I217,I218,I219,I220,I221)</f>
        <v/>
      </c>
      <c r="I219" t="n">
        <v>63</v>
      </c>
      <c r="J219">
        <f>H219-F219</f>
        <v/>
      </c>
      <c r="K219">
        <f>ABS(J219)</f>
        <v/>
      </c>
      <c r="L219">
        <f>K219/F219*100</f>
        <v/>
      </c>
    </row>
    <row r="220">
      <c r="A220" t="inlineStr">
        <is>
          <t>subject03</t>
        </is>
      </c>
      <c r="B220" t="n">
        <v>55</v>
      </c>
      <c r="C220" t="n">
        <v>270</v>
      </c>
      <c r="D220" t="n">
        <v>290</v>
      </c>
      <c r="E220" t="n">
        <v>1.3237</v>
      </c>
      <c r="F220" t="n">
        <v>79.42</v>
      </c>
      <c r="G220">
        <f>H220/60</f>
        <v/>
      </c>
      <c r="H220">
        <f>MEDIAN(I218,I219,I220,I221,I222)</f>
        <v/>
      </c>
      <c r="I220" t="n">
        <v>63</v>
      </c>
      <c r="J220">
        <f>H220-F220</f>
        <v/>
      </c>
      <c r="K220">
        <f>ABS(J220)</f>
        <v/>
      </c>
      <c r="L220">
        <f>K220/F220*100</f>
        <v/>
      </c>
    </row>
    <row r="221">
      <c r="A221" t="inlineStr">
        <is>
          <t>subject03</t>
        </is>
      </c>
      <c r="B221" t="n">
        <v>56</v>
      </c>
      <c r="C221" t="n">
        <v>275</v>
      </c>
      <c r="D221" t="n">
        <v>295</v>
      </c>
      <c r="E221" t="n">
        <v>1.3194</v>
      </c>
      <c r="F221" t="n">
        <v>79.16</v>
      </c>
      <c r="G221">
        <f>H221/60</f>
        <v/>
      </c>
      <c r="H221">
        <f>MEDIAN(I219,I220,I221,I222,I223)</f>
        <v/>
      </c>
      <c r="I221" t="n">
        <v>96</v>
      </c>
      <c r="J221">
        <f>H221-F221</f>
        <v/>
      </c>
      <c r="K221">
        <f>ABS(J221)</f>
        <v/>
      </c>
      <c r="L221">
        <f>K221/F221*100</f>
        <v/>
      </c>
    </row>
    <row r="222">
      <c r="A222" t="inlineStr">
        <is>
          <t>subject03</t>
        </is>
      </c>
      <c r="B222" t="n">
        <v>57</v>
      </c>
      <c r="C222" t="n">
        <v>280</v>
      </c>
      <c r="D222" t="n">
        <v>300</v>
      </c>
      <c r="E222" t="n">
        <v>1.3167</v>
      </c>
      <c r="F222" t="n">
        <v>79</v>
      </c>
      <c r="G222">
        <f>H222/60</f>
        <v/>
      </c>
      <c r="H222">
        <f>MEDIAN(I220,I221,I222,I223,I224)</f>
        <v/>
      </c>
      <c r="I222" t="n">
        <v>78</v>
      </c>
      <c r="J222">
        <f>H222-F222</f>
        <v/>
      </c>
      <c r="K222">
        <f>ABS(J222)</f>
        <v/>
      </c>
      <c r="L222">
        <f>K222/F222*100</f>
        <v/>
      </c>
    </row>
    <row r="223">
      <c r="A223" t="inlineStr">
        <is>
          <t>subject03</t>
        </is>
      </c>
      <c r="B223" t="n">
        <v>58</v>
      </c>
      <c r="C223" t="n">
        <v>285</v>
      </c>
      <c r="D223" t="n">
        <v>305</v>
      </c>
      <c r="E223" t="n">
        <v>1.3231</v>
      </c>
      <c r="F223" t="n">
        <v>79.39</v>
      </c>
      <c r="G223">
        <f>H223/60</f>
        <v/>
      </c>
      <c r="H223">
        <f>MEDIAN(I221,I222,I223,I224,I225)</f>
        <v/>
      </c>
      <c r="I223" t="n">
        <v>78</v>
      </c>
      <c r="J223">
        <f>H223-F223</f>
        <v/>
      </c>
      <c r="K223">
        <f>ABS(J223)</f>
        <v/>
      </c>
      <c r="L223">
        <f>K223/F223*100</f>
        <v/>
      </c>
    </row>
    <row r="224">
      <c r="A224" t="inlineStr">
        <is>
          <t>subject03</t>
        </is>
      </c>
      <c r="B224" t="n">
        <v>59</v>
      </c>
      <c r="C224" t="n">
        <v>290</v>
      </c>
      <c r="D224" t="n">
        <v>310</v>
      </c>
      <c r="E224" t="n">
        <v>1.3184</v>
      </c>
      <c r="F224" t="n">
        <v>79.09999999999999</v>
      </c>
      <c r="G224">
        <f>H224/60</f>
        <v/>
      </c>
      <c r="H224">
        <f>MEDIAN(I222,I223,I224,I225,I226)</f>
        <v/>
      </c>
      <c r="I224" t="n">
        <v>78</v>
      </c>
      <c r="J224">
        <f>H224-F224</f>
        <v/>
      </c>
      <c r="K224">
        <f>ABS(J224)</f>
        <v/>
      </c>
      <c r="L224">
        <f>K224/F224*100</f>
        <v/>
      </c>
    </row>
    <row r="225">
      <c r="A225" t="inlineStr">
        <is>
          <t>subject03</t>
        </is>
      </c>
      <c r="B225" t="n">
        <v>60</v>
      </c>
      <c r="C225" t="n">
        <v>295</v>
      </c>
      <c r="D225" t="n">
        <v>315</v>
      </c>
      <c r="E225" t="n">
        <v>1.3119</v>
      </c>
      <c r="F225" t="n">
        <v>78.70999999999999</v>
      </c>
      <c r="G225">
        <f>H225/60</f>
        <v/>
      </c>
      <c r="H225">
        <f>MEDIAN(I223,I224,I225,I226,I227)</f>
        <v/>
      </c>
      <c r="I225" t="n">
        <v>75</v>
      </c>
      <c r="J225">
        <f>H225-F225</f>
        <v/>
      </c>
      <c r="K225">
        <f>ABS(J225)</f>
        <v/>
      </c>
      <c r="L225">
        <f>K225/F225*100</f>
        <v/>
      </c>
    </row>
    <row r="226">
      <c r="A226" t="inlineStr">
        <is>
          <t>subject03</t>
        </is>
      </c>
      <c r="B226" t="n">
        <v>61</v>
      </c>
      <c r="C226" t="n">
        <v>300</v>
      </c>
      <c r="D226" t="n">
        <v>320</v>
      </c>
      <c r="E226" t="n">
        <v>1.3064</v>
      </c>
      <c r="F226" t="n">
        <v>78.38</v>
      </c>
      <c r="G226">
        <f>H226/60</f>
        <v/>
      </c>
      <c r="H226">
        <f>MEDIAN(I224,I225,I226,I227,I228)</f>
        <v/>
      </c>
      <c r="I226" t="n">
        <v>84</v>
      </c>
      <c r="J226">
        <f>H226-F226</f>
        <v/>
      </c>
      <c r="K226">
        <f>ABS(J226)</f>
        <v/>
      </c>
      <c r="L226">
        <f>K226/F226*100</f>
        <v/>
      </c>
    </row>
    <row r="227">
      <c r="A227" t="inlineStr">
        <is>
          <t>subject03</t>
        </is>
      </c>
      <c r="B227" t="n">
        <v>62</v>
      </c>
      <c r="C227" t="n">
        <v>305</v>
      </c>
      <c r="D227" t="n">
        <v>325</v>
      </c>
      <c r="E227" t="n">
        <v>1.3023</v>
      </c>
      <c r="F227" t="n">
        <v>78.14</v>
      </c>
      <c r="G227">
        <f>H227/60</f>
        <v/>
      </c>
      <c r="H227">
        <f>MEDIAN(I225,I226,I227,I228,I229)</f>
        <v/>
      </c>
      <c r="I227" t="n">
        <v>87</v>
      </c>
      <c r="J227">
        <f>H227-F227</f>
        <v/>
      </c>
      <c r="K227">
        <f>ABS(J227)</f>
        <v/>
      </c>
      <c r="L227">
        <f>K227/F227*100</f>
        <v/>
      </c>
    </row>
    <row r="228">
      <c r="A228" t="inlineStr">
        <is>
          <t>subject03</t>
        </is>
      </c>
      <c r="B228" t="n">
        <v>63</v>
      </c>
      <c r="C228" t="n">
        <v>310</v>
      </c>
      <c r="D228" t="n">
        <v>330</v>
      </c>
      <c r="E228" t="n">
        <v>1.2998</v>
      </c>
      <c r="F228" t="n">
        <v>77.98999999999999</v>
      </c>
      <c r="G228">
        <f>H228/60</f>
        <v/>
      </c>
      <c r="H228">
        <f>MEDIAN(I226,I227,I228,I229,I230)</f>
        <v/>
      </c>
      <c r="I228" t="n">
        <v>90</v>
      </c>
      <c r="J228">
        <f>H228-F228</f>
        <v/>
      </c>
      <c r="K228">
        <f>ABS(J228)</f>
        <v/>
      </c>
      <c r="L228">
        <f>K228/F228*100</f>
        <v/>
      </c>
    </row>
    <row r="229">
      <c r="A229" t="inlineStr">
        <is>
          <t>subject03</t>
        </is>
      </c>
      <c r="B229" t="n">
        <v>64</v>
      </c>
      <c r="C229" t="n">
        <v>315</v>
      </c>
      <c r="D229" t="n">
        <v>335</v>
      </c>
      <c r="E229" t="n">
        <v>1.2967</v>
      </c>
      <c r="F229" t="n">
        <v>77.8</v>
      </c>
      <c r="G229">
        <f>H229/60</f>
        <v/>
      </c>
      <c r="H229">
        <f>MEDIAN(I227,I228,I229,I230,I231)</f>
        <v/>
      </c>
      <c r="I229" t="n">
        <v>90</v>
      </c>
      <c r="J229">
        <f>H229-F229</f>
        <v/>
      </c>
      <c r="K229">
        <f>ABS(J229)</f>
        <v/>
      </c>
      <c r="L229">
        <f>K229/F229*100</f>
        <v/>
      </c>
    </row>
    <row r="230">
      <c r="A230" t="inlineStr">
        <is>
          <t>subject03</t>
        </is>
      </c>
      <c r="B230" t="n">
        <v>65</v>
      </c>
      <c r="C230" t="n">
        <v>320</v>
      </c>
      <c r="D230" t="n">
        <v>340</v>
      </c>
      <c r="E230" t="n">
        <v>1.2933</v>
      </c>
      <c r="F230" t="n">
        <v>77.59999999999999</v>
      </c>
      <c r="G230">
        <f>H230/60</f>
        <v/>
      </c>
      <c r="H230">
        <f>MEDIAN(I228,I229,I230,I231,I232)</f>
        <v/>
      </c>
      <c r="I230" t="n">
        <v>99</v>
      </c>
      <c r="J230">
        <f>H230-F230</f>
        <v/>
      </c>
      <c r="K230">
        <f>ABS(J230)</f>
        <v/>
      </c>
      <c r="L230">
        <f>K230/F230*100</f>
        <v/>
      </c>
    </row>
    <row r="231">
      <c r="A231" t="inlineStr">
        <is>
          <t>subject03</t>
        </is>
      </c>
      <c r="B231" t="n">
        <v>66</v>
      </c>
      <c r="C231" t="n">
        <v>325</v>
      </c>
      <c r="D231" t="n">
        <v>345</v>
      </c>
      <c r="E231" t="n">
        <v>1.2914</v>
      </c>
      <c r="F231" t="n">
        <v>77.48</v>
      </c>
      <c r="G231">
        <f>H231/60</f>
        <v/>
      </c>
      <c r="H231">
        <f>MEDIAN(I229,I230,I231,I232,I233)</f>
        <v/>
      </c>
      <c r="I231" t="n">
        <v>102</v>
      </c>
      <c r="J231">
        <f>H231-F231</f>
        <v/>
      </c>
      <c r="K231">
        <f>ABS(J231)</f>
        <v/>
      </c>
      <c r="L231">
        <f>K231/F231*100</f>
        <v/>
      </c>
    </row>
    <row r="232">
      <c r="A232" t="inlineStr">
        <is>
          <t>subject03</t>
        </is>
      </c>
      <c r="B232" t="n">
        <v>67</v>
      </c>
      <c r="C232" t="n">
        <v>330</v>
      </c>
      <c r="D232" t="n">
        <v>350</v>
      </c>
      <c r="E232" t="n">
        <v>1.2906</v>
      </c>
      <c r="F232" t="n">
        <v>77.44</v>
      </c>
      <c r="G232">
        <f>H232/60</f>
        <v/>
      </c>
      <c r="H232">
        <f>MEDIAN(I230,I231,I232,I233,I234)</f>
        <v/>
      </c>
      <c r="I232" t="n">
        <v>102</v>
      </c>
      <c r="J232">
        <f>H232-F232</f>
        <v/>
      </c>
      <c r="K232">
        <f>ABS(J232)</f>
        <v/>
      </c>
      <c r="L232">
        <f>K232/F232*100</f>
        <v/>
      </c>
    </row>
    <row r="233">
      <c r="A233" t="inlineStr">
        <is>
          <t>subject03</t>
        </is>
      </c>
      <c r="B233" t="n">
        <v>68</v>
      </c>
      <c r="C233" t="n">
        <v>335</v>
      </c>
      <c r="D233" t="n">
        <v>355</v>
      </c>
      <c r="E233" t="n">
        <v>1.2998</v>
      </c>
      <c r="F233" t="n">
        <v>77.98999999999999</v>
      </c>
      <c r="G233">
        <f>H233/60</f>
        <v/>
      </c>
      <c r="H233">
        <f>MEDIAN(I231,I232,I233,I234,I235)</f>
        <v/>
      </c>
      <c r="I233" t="n">
        <v>93</v>
      </c>
      <c r="J233">
        <f>H233-F233</f>
        <v/>
      </c>
      <c r="K233">
        <f>ABS(J233)</f>
        <v/>
      </c>
      <c r="L233">
        <f>K233/F233*100</f>
        <v/>
      </c>
    </row>
    <row r="234">
      <c r="A234" t="inlineStr">
        <is>
          <t>subject03</t>
        </is>
      </c>
      <c r="B234" t="n">
        <v>69</v>
      </c>
      <c r="C234" t="n">
        <v>340</v>
      </c>
      <c r="D234" t="n">
        <v>360</v>
      </c>
      <c r="E234" t="n">
        <v>1.3088</v>
      </c>
      <c r="F234" t="n">
        <v>78.53</v>
      </c>
      <c r="G234">
        <f>H234/60</f>
        <v/>
      </c>
      <c r="H234">
        <f>MEDIAN(I232,I233,I234,I235,I236)</f>
        <v/>
      </c>
      <c r="I234" t="n">
        <v>93</v>
      </c>
      <c r="J234">
        <f>H234-F234</f>
        <v/>
      </c>
      <c r="K234">
        <f>ABS(J234)</f>
        <v/>
      </c>
      <c r="L234">
        <f>K234/F234*100</f>
        <v/>
      </c>
    </row>
    <row r="235">
      <c r="A235" t="inlineStr">
        <is>
          <t>subject03</t>
        </is>
      </c>
      <c r="B235" t="n">
        <v>70</v>
      </c>
      <c r="C235" t="n">
        <v>345</v>
      </c>
      <c r="D235" t="n">
        <v>365</v>
      </c>
      <c r="E235" t="n">
        <v>1.3104</v>
      </c>
      <c r="F235" t="n">
        <v>78.62</v>
      </c>
      <c r="G235">
        <f>H235/60</f>
        <v/>
      </c>
      <c r="H235">
        <f>MEDIAN(I233,I234,I235,I236,I237)</f>
        <v/>
      </c>
      <c r="I235" t="n">
        <v>96</v>
      </c>
      <c r="J235">
        <f>H235-F235</f>
        <v/>
      </c>
      <c r="K235">
        <f>ABS(J235)</f>
        <v/>
      </c>
      <c r="L235">
        <f>K235/F235*100</f>
        <v/>
      </c>
    </row>
    <row r="236">
      <c r="A236" t="inlineStr">
        <is>
          <t>subject03</t>
        </is>
      </c>
      <c r="B236" t="n">
        <v>71</v>
      </c>
      <c r="C236" t="n">
        <v>350</v>
      </c>
      <c r="D236" t="n">
        <v>370</v>
      </c>
      <c r="E236" t="n">
        <v>1.3247</v>
      </c>
      <c r="F236" t="n">
        <v>79.48</v>
      </c>
      <c r="G236">
        <f>H236/60</f>
        <v/>
      </c>
      <c r="H236">
        <f>MEDIAN(I234,I235,I236,I237,I238)</f>
        <v/>
      </c>
      <c r="I236" t="n">
        <v>96</v>
      </c>
      <c r="J236">
        <f>H236-F236</f>
        <v/>
      </c>
      <c r="K236">
        <f>ABS(J236)</f>
        <v/>
      </c>
      <c r="L236">
        <f>K236/F236*100</f>
        <v/>
      </c>
    </row>
    <row r="237">
      <c r="A237" t="inlineStr">
        <is>
          <t>subject03</t>
        </is>
      </c>
      <c r="B237" t="n">
        <v>72</v>
      </c>
      <c r="C237" t="n">
        <v>355</v>
      </c>
      <c r="D237" t="n">
        <v>375</v>
      </c>
      <c r="E237" t="n">
        <v>1.3265</v>
      </c>
      <c r="F237" t="n">
        <v>79.59</v>
      </c>
      <c r="G237">
        <f>H237/60</f>
        <v/>
      </c>
      <c r="H237">
        <f>MEDIAN(I235,I236,I237,I238,I239)</f>
        <v/>
      </c>
      <c r="I237" t="n">
        <v>72</v>
      </c>
      <c r="J237">
        <f>H237-F237</f>
        <v/>
      </c>
      <c r="K237">
        <f>ABS(J237)</f>
        <v/>
      </c>
      <c r="L237">
        <f>K237/F237*100</f>
        <v/>
      </c>
    </row>
    <row r="238">
      <c r="A238" t="inlineStr">
        <is>
          <t>subject03</t>
        </is>
      </c>
      <c r="B238" t="n">
        <v>73</v>
      </c>
      <c r="C238" t="n">
        <v>360</v>
      </c>
      <c r="D238" t="n">
        <v>380</v>
      </c>
      <c r="E238" t="n">
        <v>1.331</v>
      </c>
      <c r="F238" t="n">
        <v>79.86</v>
      </c>
      <c r="G238">
        <f>H238/60</f>
        <v/>
      </c>
      <c r="H238">
        <f>MEDIAN(I236,I237,I238,I239,I240)</f>
        <v/>
      </c>
      <c r="I238" t="n">
        <v>51</v>
      </c>
      <c r="J238">
        <f>H238-F238</f>
        <v/>
      </c>
      <c r="K238">
        <f>ABS(J238)</f>
        <v/>
      </c>
      <c r="L238">
        <f>K238/F238*100</f>
        <v/>
      </c>
    </row>
    <row r="239">
      <c r="A239" t="inlineStr">
        <is>
          <t>subject03</t>
        </is>
      </c>
      <c r="B239" t="n">
        <v>74</v>
      </c>
      <c r="C239" t="n">
        <v>365</v>
      </c>
      <c r="D239" t="n">
        <v>385</v>
      </c>
      <c r="E239" t="n">
        <v>1.3352</v>
      </c>
      <c r="F239" t="n">
        <v>80.11</v>
      </c>
      <c r="G239">
        <f>H239/60</f>
        <v/>
      </c>
      <c r="H239">
        <f>MEDIAN(I237,I238,I239,I240,I241)</f>
        <v/>
      </c>
      <c r="I239" t="n">
        <v>63</v>
      </c>
      <c r="J239">
        <f>H239-F239</f>
        <v/>
      </c>
      <c r="K239">
        <f>ABS(J239)</f>
        <v/>
      </c>
      <c r="L239">
        <f>K239/F239*100</f>
        <v/>
      </c>
    </row>
    <row r="240">
      <c r="A240" t="inlineStr">
        <is>
          <t>subject03</t>
        </is>
      </c>
      <c r="B240" t="n">
        <v>75</v>
      </c>
      <c r="C240" t="n">
        <v>370</v>
      </c>
      <c r="D240" t="n">
        <v>390</v>
      </c>
      <c r="E240" t="n">
        <v>1.3193</v>
      </c>
      <c r="F240" t="n">
        <v>79.16</v>
      </c>
      <c r="G240">
        <f>H240/60</f>
        <v/>
      </c>
      <c r="H240">
        <f>MEDIAN(I238,I239,I240,I241,I242)</f>
        <v/>
      </c>
      <c r="I240" t="n">
        <v>63</v>
      </c>
      <c r="J240">
        <f>H240-F240</f>
        <v/>
      </c>
      <c r="K240">
        <f>ABS(J240)</f>
        <v/>
      </c>
      <c r="L240">
        <f>K240/F240*100</f>
        <v/>
      </c>
    </row>
    <row r="241">
      <c r="A241" t="inlineStr">
        <is>
          <t>subject03</t>
        </is>
      </c>
      <c r="B241" t="n">
        <v>76</v>
      </c>
      <c r="C241" t="n">
        <v>375</v>
      </c>
      <c r="D241" t="n">
        <v>395</v>
      </c>
      <c r="E241" t="n">
        <v>1.3044</v>
      </c>
      <c r="F241" t="n">
        <v>78.26000000000001</v>
      </c>
      <c r="G241">
        <f>H241/60</f>
        <v/>
      </c>
      <c r="H241">
        <f>MEDIAN(I239,I240,I241,I242,I243)</f>
        <v/>
      </c>
      <c r="I241" t="n">
        <v>63</v>
      </c>
      <c r="J241">
        <f>H241-F241</f>
        <v/>
      </c>
      <c r="K241">
        <f>ABS(J241)</f>
        <v/>
      </c>
      <c r="L241">
        <f>K241/F241*100</f>
        <v/>
      </c>
    </row>
    <row r="242">
      <c r="A242" t="inlineStr">
        <is>
          <t>subject03</t>
        </is>
      </c>
      <c r="B242" t="n">
        <v>77</v>
      </c>
      <c r="C242" t="n">
        <v>380</v>
      </c>
      <c r="D242" t="n">
        <v>400</v>
      </c>
      <c r="E242" t="n">
        <v>1.2864</v>
      </c>
      <c r="F242" t="n">
        <v>77.18000000000001</v>
      </c>
      <c r="G242">
        <f>H242/60</f>
        <v/>
      </c>
      <c r="H242">
        <f>MEDIAN(I240,I241,I242,I243,I244)</f>
        <v/>
      </c>
      <c r="I242" t="n">
        <v>78</v>
      </c>
      <c r="J242">
        <f>H242-F242</f>
        <v/>
      </c>
      <c r="K242">
        <f>ABS(J242)</f>
        <v/>
      </c>
      <c r="L242">
        <f>K242/F242*100</f>
        <v/>
      </c>
    </row>
    <row r="243">
      <c r="A243" t="inlineStr">
        <is>
          <t>subject03</t>
        </is>
      </c>
      <c r="B243" t="n">
        <v>78</v>
      </c>
      <c r="C243" t="n">
        <v>385</v>
      </c>
      <c r="D243" t="n">
        <v>405</v>
      </c>
      <c r="E243" t="n">
        <v>1.2824</v>
      </c>
      <c r="F243" t="n">
        <v>76.95</v>
      </c>
      <c r="G243">
        <f>H243/60</f>
        <v/>
      </c>
      <c r="H243">
        <f>MEDIAN(I241,I242,I243,I244,I245)</f>
        <v/>
      </c>
      <c r="I243" t="n">
        <v>75</v>
      </c>
      <c r="J243">
        <f>H243-F243</f>
        <v/>
      </c>
      <c r="K243">
        <f>ABS(J243)</f>
        <v/>
      </c>
      <c r="L243">
        <f>K243/F243*100</f>
        <v/>
      </c>
    </row>
    <row r="244">
      <c r="A244" t="inlineStr">
        <is>
          <t>subject03</t>
        </is>
      </c>
      <c r="B244" t="n">
        <v>79</v>
      </c>
      <c r="C244" t="n">
        <v>390</v>
      </c>
      <c r="D244" t="n">
        <v>410</v>
      </c>
      <c r="E244" t="n">
        <v>1.286</v>
      </c>
      <c r="F244" t="n">
        <v>77.16</v>
      </c>
      <c r="G244">
        <f>H244/60</f>
        <v/>
      </c>
      <c r="H244">
        <f>MEDIAN(I242,I243,I244,I245,I246)</f>
        <v/>
      </c>
      <c r="I244" t="n">
        <v>78</v>
      </c>
      <c r="J244">
        <f>H244-F244</f>
        <v/>
      </c>
      <c r="K244">
        <f>ABS(J244)</f>
        <v/>
      </c>
      <c r="L244">
        <f>K244/F244*100</f>
        <v/>
      </c>
    </row>
    <row r="245">
      <c r="A245" t="inlineStr">
        <is>
          <t>subject03</t>
        </is>
      </c>
      <c r="B245" t="n">
        <v>80</v>
      </c>
      <c r="C245" t="n">
        <v>395</v>
      </c>
      <c r="D245" t="n">
        <v>415</v>
      </c>
      <c r="E245" t="n">
        <v>1.2906</v>
      </c>
      <c r="F245" t="n">
        <v>77.43000000000001</v>
      </c>
      <c r="G245">
        <f>H245/60</f>
        <v/>
      </c>
      <c r="H245">
        <f>MEDIAN(I243,I244,I245,I246,0)</f>
        <v/>
      </c>
      <c r="I245" t="n">
        <v>78</v>
      </c>
      <c r="J245">
        <f>H245-F245</f>
        <v/>
      </c>
      <c r="K245">
        <f>ABS(J245)</f>
        <v/>
      </c>
      <c r="L245">
        <f>K245/F245*100</f>
        <v/>
      </c>
    </row>
    <row r="246">
      <c r="A246" t="inlineStr">
        <is>
          <t>subject03</t>
        </is>
      </c>
      <c r="B246" t="n">
        <v>81</v>
      </c>
      <c r="C246" t="n">
        <v>400</v>
      </c>
      <c r="D246" t="n">
        <v>420</v>
      </c>
      <c r="E246" t="n">
        <v>1.2977</v>
      </c>
      <c r="F246" t="n">
        <v>77.86</v>
      </c>
      <c r="G246">
        <f>H246/60</f>
        <v/>
      </c>
      <c r="H246">
        <f>MEDIAN(I244,I245,I246,0,0)</f>
        <v/>
      </c>
      <c r="I246" t="n">
        <v>78</v>
      </c>
      <c r="J246">
        <f>H246-F246</f>
        <v/>
      </c>
      <c r="K246">
        <f>ABS(J246)</f>
        <v/>
      </c>
      <c r="L246">
        <f>K246/F246*100</f>
        <v/>
      </c>
    </row>
    <row r="247">
      <c r="A247" t="inlineStr">
        <is>
          <t>subject04</t>
        </is>
      </c>
      <c r="B247" t="n">
        <v>1</v>
      </c>
      <c r="C247" t="n">
        <v>0</v>
      </c>
      <c r="D247" t="n">
        <v>20</v>
      </c>
      <c r="E247" t="n">
        <v>1.1682</v>
      </c>
      <c r="F247" t="n">
        <v>70.09</v>
      </c>
      <c r="G247">
        <f>H247/60</f>
        <v/>
      </c>
      <c r="H247">
        <f>MEDIAN(0,0,I247,I248,I249)</f>
        <v/>
      </c>
      <c r="I247" t="n">
        <v>96</v>
      </c>
      <c r="J247">
        <f>H247-F247</f>
        <v/>
      </c>
      <c r="K247">
        <f>ABS(J247)</f>
        <v/>
      </c>
      <c r="L247">
        <f>K247/F247*100</f>
        <v/>
      </c>
    </row>
    <row r="248">
      <c r="A248" t="inlineStr">
        <is>
          <t>subject04</t>
        </is>
      </c>
      <c r="B248" t="n">
        <v>2</v>
      </c>
      <c r="C248" t="n">
        <v>5</v>
      </c>
      <c r="D248" t="n">
        <v>25</v>
      </c>
      <c r="E248" t="n">
        <v>1.1763</v>
      </c>
      <c r="F248" t="n">
        <v>70.58</v>
      </c>
      <c r="G248">
        <f>H248/60</f>
        <v/>
      </c>
      <c r="H248">
        <f>MEDIAN(0,I247,I248,I249,I250)</f>
        <v/>
      </c>
      <c r="I248" t="n">
        <v>99</v>
      </c>
      <c r="J248">
        <f>H248-F248</f>
        <v/>
      </c>
      <c r="K248">
        <f>ABS(J248)</f>
        <v/>
      </c>
      <c r="L248">
        <f>K248/F248*100</f>
        <v/>
      </c>
    </row>
    <row r="249">
      <c r="A249" t="inlineStr">
        <is>
          <t>subject04</t>
        </is>
      </c>
      <c r="B249" t="n">
        <v>3</v>
      </c>
      <c r="C249" t="n">
        <v>10</v>
      </c>
      <c r="D249" t="n">
        <v>30</v>
      </c>
      <c r="E249" t="n">
        <v>1.2145</v>
      </c>
      <c r="F249" t="n">
        <v>72.87</v>
      </c>
      <c r="G249">
        <f>H249/60</f>
        <v/>
      </c>
      <c r="H249">
        <f>MEDIAN(I247,I248,I249,I250,I251)</f>
        <v/>
      </c>
      <c r="I249" t="n">
        <v>60</v>
      </c>
      <c r="J249">
        <f>H249-F249</f>
        <v/>
      </c>
      <c r="K249">
        <f>ABS(J249)</f>
        <v/>
      </c>
      <c r="L249">
        <f>K249/F249*100</f>
        <v/>
      </c>
    </row>
    <row r="250">
      <c r="A250" t="inlineStr">
        <is>
          <t>subject04</t>
        </is>
      </c>
      <c r="B250" t="n">
        <v>4</v>
      </c>
      <c r="C250" t="n">
        <v>15</v>
      </c>
      <c r="D250" t="n">
        <v>35</v>
      </c>
      <c r="E250" t="n">
        <v>1.2463</v>
      </c>
      <c r="F250" t="n">
        <v>74.78</v>
      </c>
      <c r="G250">
        <f>H250/60</f>
        <v/>
      </c>
      <c r="H250">
        <f>MEDIAN(I248,I249,I250,I251,I252)</f>
        <v/>
      </c>
      <c r="I250" t="n">
        <v>90</v>
      </c>
      <c r="J250">
        <f>H250-F250</f>
        <v/>
      </c>
      <c r="K250">
        <f>ABS(J250)</f>
        <v/>
      </c>
      <c r="L250">
        <f>K250/F250*100</f>
        <v/>
      </c>
    </row>
    <row r="251">
      <c r="A251" t="inlineStr">
        <is>
          <t>subject04</t>
        </is>
      </c>
      <c r="B251" t="n">
        <v>5</v>
      </c>
      <c r="C251" t="n">
        <v>20</v>
      </c>
      <c r="D251" t="n">
        <v>40</v>
      </c>
      <c r="E251" t="n">
        <v>1.2646</v>
      </c>
      <c r="F251" t="n">
        <v>75.88</v>
      </c>
      <c r="G251">
        <f>H251/60</f>
        <v/>
      </c>
      <c r="H251">
        <f>MEDIAN(I249,I250,I251,I252,I253)</f>
        <v/>
      </c>
      <c r="I251" t="n">
        <v>90</v>
      </c>
      <c r="J251">
        <f>H251-F251</f>
        <v/>
      </c>
      <c r="K251">
        <f>ABS(J251)</f>
        <v/>
      </c>
      <c r="L251">
        <f>K251/F251*100</f>
        <v/>
      </c>
    </row>
    <row r="252">
      <c r="A252" t="inlineStr">
        <is>
          <t>subject04</t>
        </is>
      </c>
      <c r="B252" t="n">
        <v>6</v>
      </c>
      <c r="C252" t="n">
        <v>25</v>
      </c>
      <c r="D252" t="n">
        <v>45</v>
      </c>
      <c r="E252" t="n">
        <v>1.2741</v>
      </c>
      <c r="F252" t="n">
        <v>76.45</v>
      </c>
      <c r="G252">
        <f>H252/60</f>
        <v/>
      </c>
      <c r="H252">
        <f>MEDIAN(I250,I251,I252,I253,I254)</f>
        <v/>
      </c>
      <c r="I252" t="n">
        <v>93</v>
      </c>
      <c r="J252">
        <f>H252-F252</f>
        <v/>
      </c>
      <c r="K252">
        <f>ABS(J252)</f>
        <v/>
      </c>
      <c r="L252">
        <f>K252/F252*100</f>
        <v/>
      </c>
    </row>
    <row r="253">
      <c r="A253" t="inlineStr">
        <is>
          <t>subject04</t>
        </is>
      </c>
      <c r="B253" t="n">
        <v>7</v>
      </c>
      <c r="C253" t="n">
        <v>30</v>
      </c>
      <c r="D253" t="n">
        <v>50</v>
      </c>
      <c r="E253" t="n">
        <v>1.2794</v>
      </c>
      <c r="F253" t="n">
        <v>76.76000000000001</v>
      </c>
      <c r="G253">
        <f>H253/60</f>
        <v/>
      </c>
      <c r="H253">
        <f>MEDIAN(I251,I252,I253,I254,I255)</f>
        <v/>
      </c>
      <c r="I253" t="n">
        <v>60</v>
      </c>
      <c r="J253">
        <f>H253-F253</f>
        <v/>
      </c>
      <c r="K253">
        <f>ABS(J253)</f>
        <v/>
      </c>
      <c r="L253">
        <f>K253/F253*100</f>
        <v/>
      </c>
    </row>
    <row r="254">
      <c r="A254" t="inlineStr">
        <is>
          <t>subject04</t>
        </is>
      </c>
      <c r="B254" t="n">
        <v>8</v>
      </c>
      <c r="C254" t="n">
        <v>35</v>
      </c>
      <c r="D254" t="n">
        <v>55</v>
      </c>
      <c r="E254" t="n">
        <v>1.2702</v>
      </c>
      <c r="F254" t="n">
        <v>76.20999999999999</v>
      </c>
      <c r="G254">
        <f>H254/60</f>
        <v/>
      </c>
      <c r="H254">
        <f>MEDIAN(I252,I253,I254,I255,I256)</f>
        <v/>
      </c>
      <c r="I254" t="n">
        <v>60</v>
      </c>
      <c r="J254">
        <f>H254-F254</f>
        <v/>
      </c>
      <c r="K254">
        <f>ABS(J254)</f>
        <v/>
      </c>
      <c r="L254">
        <f>K254/F254*100</f>
        <v/>
      </c>
    </row>
    <row r="255">
      <c r="A255" t="inlineStr">
        <is>
          <t>subject04</t>
        </is>
      </c>
      <c r="B255" t="n">
        <v>9</v>
      </c>
      <c r="C255" t="n">
        <v>40</v>
      </c>
      <c r="D255" t="n">
        <v>60</v>
      </c>
      <c r="E255" t="n">
        <v>1.2637</v>
      </c>
      <c r="F255" t="n">
        <v>75.81999999999999</v>
      </c>
      <c r="G255">
        <f>H255/60</f>
        <v/>
      </c>
      <c r="H255">
        <f>MEDIAN(I253,I254,I255,I256,I257)</f>
        <v/>
      </c>
      <c r="I255" t="n">
        <v>90</v>
      </c>
      <c r="J255">
        <f>H255-F255</f>
        <v/>
      </c>
      <c r="K255">
        <f>ABS(J255)</f>
        <v/>
      </c>
      <c r="L255">
        <f>K255/F255*100</f>
        <v/>
      </c>
    </row>
    <row r="256">
      <c r="A256" t="inlineStr">
        <is>
          <t>subject04</t>
        </is>
      </c>
      <c r="B256" t="n">
        <v>10</v>
      </c>
      <c r="C256" t="n">
        <v>45</v>
      </c>
      <c r="D256" t="n">
        <v>65</v>
      </c>
      <c r="E256" t="n">
        <v>1.2485</v>
      </c>
      <c r="F256" t="n">
        <v>74.91</v>
      </c>
      <c r="G256">
        <f>H256/60</f>
        <v/>
      </c>
      <c r="H256">
        <f>MEDIAN(I254,I255,I256,I257,I258)</f>
        <v/>
      </c>
      <c r="I256" t="n">
        <v>54</v>
      </c>
      <c r="J256">
        <f>H256-F256</f>
        <v/>
      </c>
      <c r="K256">
        <f>ABS(J256)</f>
        <v/>
      </c>
      <c r="L256">
        <f>K256/F256*100</f>
        <v/>
      </c>
    </row>
    <row r="257">
      <c r="A257" t="inlineStr">
        <is>
          <t>subject04</t>
        </is>
      </c>
      <c r="B257" t="n">
        <v>11</v>
      </c>
      <c r="C257" t="n">
        <v>50</v>
      </c>
      <c r="D257" t="n">
        <v>70</v>
      </c>
      <c r="E257" t="n">
        <v>1.2255</v>
      </c>
      <c r="F257" t="n">
        <v>73.53</v>
      </c>
      <c r="G257">
        <f>H257/60</f>
        <v/>
      </c>
      <c r="H257">
        <f>MEDIAN(I255,I256,I257,I258,I259)</f>
        <v/>
      </c>
      <c r="I257" t="n">
        <v>57</v>
      </c>
      <c r="J257">
        <f>H257-F257</f>
        <v/>
      </c>
      <c r="K257">
        <f>ABS(J257)</f>
        <v/>
      </c>
      <c r="L257">
        <f>K257/F257*100</f>
        <v/>
      </c>
    </row>
    <row r="258">
      <c r="A258" t="inlineStr">
        <is>
          <t>subject04</t>
        </is>
      </c>
      <c r="B258" t="n">
        <v>12</v>
      </c>
      <c r="C258" t="n">
        <v>55</v>
      </c>
      <c r="D258" t="n">
        <v>75</v>
      </c>
      <c r="E258" t="n">
        <v>1.2268</v>
      </c>
      <c r="F258" t="n">
        <v>73.61</v>
      </c>
      <c r="G258">
        <f>H258/60</f>
        <v/>
      </c>
      <c r="H258">
        <f>MEDIAN(I256,I257,I258,I259,I260)</f>
        <v/>
      </c>
      <c r="I258" t="n">
        <v>63</v>
      </c>
      <c r="J258">
        <f>H258-F258</f>
        <v/>
      </c>
      <c r="K258">
        <f>ABS(J258)</f>
        <v/>
      </c>
      <c r="L258">
        <f>K258/F258*100</f>
        <v/>
      </c>
    </row>
    <row r="259">
      <c r="A259" t="inlineStr">
        <is>
          <t>subject04</t>
        </is>
      </c>
      <c r="B259" t="n">
        <v>13</v>
      </c>
      <c r="C259" t="n">
        <v>60</v>
      </c>
      <c r="D259" t="n">
        <v>80</v>
      </c>
      <c r="E259" t="n">
        <v>1.2314</v>
      </c>
      <c r="F259" t="n">
        <v>73.88</v>
      </c>
      <c r="G259">
        <f>H259/60</f>
        <v/>
      </c>
      <c r="H259">
        <f>MEDIAN(I257,I258,I259,I260,I261)</f>
        <v/>
      </c>
      <c r="I259" t="n">
        <v>78</v>
      </c>
      <c r="J259">
        <f>H259-F259</f>
        <v/>
      </c>
      <c r="K259">
        <f>ABS(J259)</f>
        <v/>
      </c>
      <c r="L259">
        <f>K259/F259*100</f>
        <v/>
      </c>
    </row>
    <row r="260">
      <c r="A260" t="inlineStr">
        <is>
          <t>subject04</t>
        </is>
      </c>
      <c r="B260" t="n">
        <v>14</v>
      </c>
      <c r="C260" t="n">
        <v>65</v>
      </c>
      <c r="D260" t="n">
        <v>85</v>
      </c>
      <c r="E260" t="n">
        <v>1.2298</v>
      </c>
      <c r="F260" t="n">
        <v>73.79000000000001</v>
      </c>
      <c r="G260">
        <f>H260/60</f>
        <v/>
      </c>
      <c r="H260">
        <f>MEDIAN(I258,I259,I260,I261,I262)</f>
        <v/>
      </c>
      <c r="I260" t="n">
        <v>75</v>
      </c>
      <c r="J260">
        <f>H260-F260</f>
        <v/>
      </c>
      <c r="K260">
        <f>ABS(J260)</f>
        <v/>
      </c>
      <c r="L260">
        <f>K260/F260*100</f>
        <v/>
      </c>
    </row>
    <row r="261">
      <c r="A261" t="inlineStr">
        <is>
          <t>subject04</t>
        </is>
      </c>
      <c r="B261" t="n">
        <v>15</v>
      </c>
      <c r="C261" t="n">
        <v>70</v>
      </c>
      <c r="D261" t="n">
        <v>90</v>
      </c>
      <c r="E261" t="n">
        <v>1.2273</v>
      </c>
      <c r="F261" t="n">
        <v>73.64</v>
      </c>
      <c r="G261">
        <f>H261/60</f>
        <v/>
      </c>
      <c r="H261">
        <f>MEDIAN(I259,I260,I261,I262,I263)</f>
        <v/>
      </c>
      <c r="I261" t="n">
        <v>72</v>
      </c>
      <c r="J261">
        <f>H261-F261</f>
        <v/>
      </c>
      <c r="K261">
        <f>ABS(J261)</f>
        <v/>
      </c>
      <c r="L261">
        <f>K261/F261*100</f>
        <v/>
      </c>
    </row>
    <row r="262">
      <c r="A262" t="inlineStr">
        <is>
          <t>subject04</t>
        </is>
      </c>
      <c r="B262" t="n">
        <v>16</v>
      </c>
      <c r="C262" t="n">
        <v>75</v>
      </c>
      <c r="D262" t="n">
        <v>95</v>
      </c>
      <c r="E262" t="n">
        <v>1.2073</v>
      </c>
      <c r="F262" t="n">
        <v>72.44</v>
      </c>
      <c r="G262">
        <f>H262/60</f>
        <v/>
      </c>
      <c r="H262">
        <f>MEDIAN(I260,I261,I262,I263,I264)</f>
        <v/>
      </c>
      <c r="I262" t="n">
        <v>75</v>
      </c>
      <c r="J262">
        <f>H262-F262</f>
        <v/>
      </c>
      <c r="K262">
        <f>ABS(J262)</f>
        <v/>
      </c>
      <c r="L262">
        <f>K262/F262*100</f>
        <v/>
      </c>
    </row>
    <row r="263">
      <c r="A263" t="inlineStr">
        <is>
          <t>subject04</t>
        </is>
      </c>
      <c r="B263" t="n">
        <v>17</v>
      </c>
      <c r="C263" t="n">
        <v>80</v>
      </c>
      <c r="D263" t="n">
        <v>100</v>
      </c>
      <c r="E263" t="n">
        <v>1.1889</v>
      </c>
      <c r="F263" t="n">
        <v>71.34</v>
      </c>
      <c r="G263">
        <f>H263/60</f>
        <v/>
      </c>
      <c r="H263">
        <f>MEDIAN(I261,I262,I263,I264,I265)</f>
        <v/>
      </c>
      <c r="I263" t="n">
        <v>75</v>
      </c>
      <c r="J263">
        <f>H263-F263</f>
        <v/>
      </c>
      <c r="K263">
        <f>ABS(J263)</f>
        <v/>
      </c>
      <c r="L263">
        <f>K263/F263*100</f>
        <v/>
      </c>
    </row>
    <row r="264">
      <c r="A264" t="inlineStr">
        <is>
          <t>subject04</t>
        </is>
      </c>
      <c r="B264" t="n">
        <v>18</v>
      </c>
      <c r="C264" t="n">
        <v>85</v>
      </c>
      <c r="D264" t="n">
        <v>105</v>
      </c>
      <c r="E264" t="n">
        <v>1.1916</v>
      </c>
      <c r="F264" t="n">
        <v>71.5</v>
      </c>
      <c r="G264">
        <f>H264/60</f>
        <v/>
      </c>
      <c r="H264">
        <f>MEDIAN(I262,I263,I264,I265,I266)</f>
        <v/>
      </c>
      <c r="I264" t="n">
        <v>87</v>
      </c>
      <c r="J264">
        <f>H264-F264</f>
        <v/>
      </c>
      <c r="K264">
        <f>ABS(J264)</f>
        <v/>
      </c>
      <c r="L264">
        <f>K264/F264*100</f>
        <v/>
      </c>
    </row>
    <row r="265">
      <c r="A265" t="inlineStr">
        <is>
          <t>subject04</t>
        </is>
      </c>
      <c r="B265" t="n">
        <v>19</v>
      </c>
      <c r="C265" t="n">
        <v>90</v>
      </c>
      <c r="D265" t="n">
        <v>110</v>
      </c>
      <c r="E265" t="n">
        <v>1.2144</v>
      </c>
      <c r="F265" t="n">
        <v>72.86</v>
      </c>
      <c r="G265">
        <f>H265/60</f>
        <v/>
      </c>
      <c r="H265">
        <f>MEDIAN(I263,I264,I265,I266,I267)</f>
        <v/>
      </c>
      <c r="I265" t="n">
        <v>117</v>
      </c>
      <c r="J265">
        <f>H265-F265</f>
        <v/>
      </c>
      <c r="K265">
        <f>ABS(J265)</f>
        <v/>
      </c>
      <c r="L265">
        <f>K265/F265*100</f>
        <v/>
      </c>
    </row>
    <row r="266">
      <c r="A266" t="inlineStr">
        <is>
          <t>subject04</t>
        </is>
      </c>
      <c r="B266" t="n">
        <v>20</v>
      </c>
      <c r="C266" t="n">
        <v>95</v>
      </c>
      <c r="D266" t="n">
        <v>115</v>
      </c>
      <c r="E266" t="n">
        <v>1.2356</v>
      </c>
      <c r="F266" t="n">
        <v>74.14</v>
      </c>
      <c r="G266">
        <f>H266/60</f>
        <v/>
      </c>
      <c r="H266">
        <f>MEDIAN(I264,I265,I266,I267,I268)</f>
        <v/>
      </c>
      <c r="I266" t="n">
        <v>54</v>
      </c>
      <c r="J266">
        <f>H266-F266</f>
        <v/>
      </c>
      <c r="K266">
        <f>ABS(J266)</f>
        <v/>
      </c>
      <c r="L266">
        <f>K266/F266*100</f>
        <v/>
      </c>
    </row>
    <row r="267">
      <c r="A267" t="inlineStr">
        <is>
          <t>subject04</t>
        </is>
      </c>
      <c r="B267" t="n">
        <v>21</v>
      </c>
      <c r="C267" t="n">
        <v>100</v>
      </c>
      <c r="D267" t="n">
        <v>120</v>
      </c>
      <c r="E267" t="n">
        <v>1.2493</v>
      </c>
      <c r="F267" t="n">
        <v>74.95999999999999</v>
      </c>
      <c r="G267">
        <f>H267/60</f>
        <v/>
      </c>
      <c r="H267">
        <f>MEDIAN(I265,I266,I267,I268,I269)</f>
        <v/>
      </c>
      <c r="I267" t="n">
        <v>54</v>
      </c>
      <c r="J267">
        <f>H267-F267</f>
        <v/>
      </c>
      <c r="K267">
        <f>ABS(J267)</f>
        <v/>
      </c>
      <c r="L267">
        <f>K267/F267*100</f>
        <v/>
      </c>
    </row>
    <row r="268">
      <c r="A268" t="inlineStr">
        <is>
          <t>subject04</t>
        </is>
      </c>
      <c r="B268" t="n">
        <v>22</v>
      </c>
      <c r="C268" t="n">
        <v>105</v>
      </c>
      <c r="D268" t="n">
        <v>125</v>
      </c>
      <c r="E268" t="n">
        <v>1.2657</v>
      </c>
      <c r="F268" t="n">
        <v>75.94</v>
      </c>
      <c r="G268">
        <f>H268/60</f>
        <v/>
      </c>
      <c r="H268">
        <f>MEDIAN(I266,I267,I268,I269,I270)</f>
        <v/>
      </c>
      <c r="I268" t="n">
        <v>51</v>
      </c>
      <c r="J268">
        <f>H268-F268</f>
        <v/>
      </c>
      <c r="K268">
        <f>ABS(J268)</f>
        <v/>
      </c>
      <c r="L268">
        <f>K268/F268*100</f>
        <v/>
      </c>
    </row>
    <row r="269">
      <c r="A269" t="inlineStr">
        <is>
          <t>subject04</t>
        </is>
      </c>
      <c r="B269" t="n">
        <v>23</v>
      </c>
      <c r="C269" t="n">
        <v>110</v>
      </c>
      <c r="D269" t="n">
        <v>130</v>
      </c>
      <c r="E269" t="n">
        <v>1.2556</v>
      </c>
      <c r="F269" t="n">
        <v>75.34</v>
      </c>
      <c r="G269">
        <f>H269/60</f>
        <v/>
      </c>
      <c r="H269">
        <f>MEDIAN(I267,I268,I269,I270,I271)</f>
        <v/>
      </c>
      <c r="I269" t="n">
        <v>51</v>
      </c>
      <c r="J269">
        <f>H269-F269</f>
        <v/>
      </c>
      <c r="K269">
        <f>ABS(J269)</f>
        <v/>
      </c>
      <c r="L269">
        <f>K269/F269*100</f>
        <v/>
      </c>
    </row>
    <row r="270">
      <c r="A270" t="inlineStr">
        <is>
          <t>subject04</t>
        </is>
      </c>
      <c r="B270" t="n">
        <v>24</v>
      </c>
      <c r="C270" t="n">
        <v>115</v>
      </c>
      <c r="D270" t="n">
        <v>135</v>
      </c>
      <c r="E270" t="n">
        <v>1.2638</v>
      </c>
      <c r="F270" t="n">
        <v>75.83</v>
      </c>
      <c r="G270">
        <f>H270/60</f>
        <v/>
      </c>
      <c r="H270">
        <f>MEDIAN(I268,I269,I270,I271,I272)</f>
        <v/>
      </c>
      <c r="I270" t="n">
        <v>51</v>
      </c>
      <c r="J270">
        <f>H270-F270</f>
        <v/>
      </c>
      <c r="K270">
        <f>ABS(J270)</f>
        <v/>
      </c>
      <c r="L270">
        <f>K270/F270*100</f>
        <v/>
      </c>
    </row>
    <row r="271">
      <c r="A271" t="inlineStr">
        <is>
          <t>subject04</t>
        </is>
      </c>
      <c r="B271" t="n">
        <v>25</v>
      </c>
      <c r="C271" t="n">
        <v>120</v>
      </c>
      <c r="D271" t="n">
        <v>140</v>
      </c>
      <c r="E271" t="n">
        <v>1.2625</v>
      </c>
      <c r="F271" t="n">
        <v>75.75</v>
      </c>
      <c r="G271">
        <f>H271/60</f>
        <v/>
      </c>
      <c r="H271">
        <f>MEDIAN(I269,I270,I271,I272,I273)</f>
        <v/>
      </c>
      <c r="I271" t="n">
        <v>51</v>
      </c>
      <c r="J271">
        <f>H271-F271</f>
        <v/>
      </c>
      <c r="K271">
        <f>ABS(J271)</f>
        <v/>
      </c>
      <c r="L271">
        <f>K271/F271*100</f>
        <v/>
      </c>
    </row>
    <row r="272">
      <c r="A272" t="inlineStr">
        <is>
          <t>subject04</t>
        </is>
      </c>
      <c r="B272" t="n">
        <v>26</v>
      </c>
      <c r="C272" t="n">
        <v>125</v>
      </c>
      <c r="D272" t="n">
        <v>145</v>
      </c>
      <c r="E272" t="n">
        <v>1.2777</v>
      </c>
      <c r="F272" t="n">
        <v>76.66</v>
      </c>
      <c r="G272">
        <f>H272/60</f>
        <v/>
      </c>
      <c r="H272">
        <f>MEDIAN(I270,I271,I272,I273,I274)</f>
        <v/>
      </c>
      <c r="I272" t="n">
        <v>54</v>
      </c>
      <c r="J272">
        <f>H272-F272</f>
        <v/>
      </c>
      <c r="K272">
        <f>ABS(J272)</f>
        <v/>
      </c>
      <c r="L272">
        <f>K272/F272*100</f>
        <v/>
      </c>
    </row>
    <row r="273">
      <c r="A273" t="inlineStr">
        <is>
          <t>subject04</t>
        </is>
      </c>
      <c r="B273" t="n">
        <v>27</v>
      </c>
      <c r="C273" t="n">
        <v>130</v>
      </c>
      <c r="D273" t="n">
        <v>150</v>
      </c>
      <c r="E273" t="n">
        <v>1.2878</v>
      </c>
      <c r="F273" t="n">
        <v>77.27</v>
      </c>
      <c r="G273">
        <f>H273/60</f>
        <v/>
      </c>
      <c r="H273">
        <f>MEDIAN(I271,I272,I273,I274,I275)</f>
        <v/>
      </c>
      <c r="I273" t="n">
        <v>54</v>
      </c>
      <c r="J273">
        <f>H273-F273</f>
        <v/>
      </c>
      <c r="K273">
        <f>ABS(J273)</f>
        <v/>
      </c>
      <c r="L273">
        <f>K273/F273*100</f>
        <v/>
      </c>
    </row>
    <row r="274">
      <c r="A274" t="inlineStr">
        <is>
          <t>subject04</t>
        </is>
      </c>
      <c r="B274" t="n">
        <v>28</v>
      </c>
      <c r="C274" t="n">
        <v>135</v>
      </c>
      <c r="D274" t="n">
        <v>155</v>
      </c>
      <c r="E274" t="n">
        <v>1.2918</v>
      </c>
      <c r="F274" t="n">
        <v>77.51000000000001</v>
      </c>
      <c r="G274">
        <f>H274/60</f>
        <v/>
      </c>
      <c r="H274">
        <f>MEDIAN(I272,I273,I274,I275,I276)</f>
        <v/>
      </c>
      <c r="I274" t="n">
        <v>69</v>
      </c>
      <c r="J274">
        <f>H274-F274</f>
        <v/>
      </c>
      <c r="K274">
        <f>ABS(J274)</f>
        <v/>
      </c>
      <c r="L274">
        <f>K274/F274*100</f>
        <v/>
      </c>
    </row>
    <row r="275">
      <c r="A275" t="inlineStr">
        <is>
          <t>subject04</t>
        </is>
      </c>
      <c r="B275" t="n">
        <v>29</v>
      </c>
      <c r="C275" t="n">
        <v>140</v>
      </c>
      <c r="D275" t="n">
        <v>160</v>
      </c>
      <c r="E275" t="n">
        <v>1.289</v>
      </c>
      <c r="F275" t="n">
        <v>77.34</v>
      </c>
      <c r="G275">
        <f>H275/60</f>
        <v/>
      </c>
      <c r="H275">
        <f>MEDIAN(I273,I274,I275,I276,I277)</f>
        <v/>
      </c>
      <c r="I275" t="n">
        <v>51</v>
      </c>
      <c r="J275">
        <f>H275-F275</f>
        <v/>
      </c>
      <c r="K275">
        <f>ABS(J275)</f>
        <v/>
      </c>
      <c r="L275">
        <f>K275/F275*100</f>
        <v/>
      </c>
    </row>
    <row r="276">
      <c r="A276" t="inlineStr">
        <is>
          <t>subject04</t>
        </is>
      </c>
      <c r="B276" t="n">
        <v>30</v>
      </c>
      <c r="C276" t="n">
        <v>145</v>
      </c>
      <c r="D276" t="n">
        <v>165</v>
      </c>
      <c r="E276" t="n">
        <v>1.2802</v>
      </c>
      <c r="F276" t="n">
        <v>76.81</v>
      </c>
      <c r="G276">
        <f>H276/60</f>
        <v/>
      </c>
      <c r="H276">
        <f>MEDIAN(I274,I275,I276,I277,I278)</f>
        <v/>
      </c>
      <c r="I276" t="n">
        <v>54</v>
      </c>
      <c r="J276">
        <f>H276-F276</f>
        <v/>
      </c>
      <c r="K276">
        <f>ABS(J276)</f>
        <v/>
      </c>
      <c r="L276">
        <f>K276/F276*100</f>
        <v/>
      </c>
    </row>
    <row r="277">
      <c r="A277" t="inlineStr">
        <is>
          <t>subject04</t>
        </is>
      </c>
      <c r="B277" t="n">
        <v>31</v>
      </c>
      <c r="C277" t="n">
        <v>150</v>
      </c>
      <c r="D277" t="n">
        <v>170</v>
      </c>
      <c r="E277" t="n">
        <v>1.2662</v>
      </c>
      <c r="F277" t="n">
        <v>75.97</v>
      </c>
      <c r="G277">
        <f>H277/60</f>
        <v/>
      </c>
      <c r="H277">
        <f>MEDIAN(I275,I276,I277,I278,I279)</f>
        <v/>
      </c>
      <c r="I277" t="n">
        <v>54</v>
      </c>
      <c r="J277">
        <f>H277-F277</f>
        <v/>
      </c>
      <c r="K277">
        <f>ABS(J277)</f>
        <v/>
      </c>
      <c r="L277">
        <f>K277/F277*100</f>
        <v/>
      </c>
    </row>
    <row r="278">
      <c r="A278" t="inlineStr">
        <is>
          <t>subject04</t>
        </is>
      </c>
      <c r="B278" t="n">
        <v>32</v>
      </c>
      <c r="C278" t="n">
        <v>155</v>
      </c>
      <c r="D278" t="n">
        <v>175</v>
      </c>
      <c r="E278" t="n">
        <v>1.2419</v>
      </c>
      <c r="F278" t="n">
        <v>74.51000000000001</v>
      </c>
      <c r="G278">
        <f>H278/60</f>
        <v/>
      </c>
      <c r="H278">
        <f>MEDIAN(I276,I277,I278,I279,I280)</f>
        <v/>
      </c>
      <c r="I278" t="n">
        <v>54</v>
      </c>
      <c r="J278">
        <f>H278-F278</f>
        <v/>
      </c>
      <c r="K278">
        <f>ABS(J278)</f>
        <v/>
      </c>
      <c r="L278">
        <f>K278/F278*100</f>
        <v/>
      </c>
    </row>
    <row r="279">
      <c r="A279" t="inlineStr">
        <is>
          <t>subject04</t>
        </is>
      </c>
      <c r="B279" t="n">
        <v>33</v>
      </c>
      <c r="C279" t="n">
        <v>160</v>
      </c>
      <c r="D279" t="n">
        <v>180</v>
      </c>
      <c r="E279" t="n">
        <v>1.2413</v>
      </c>
      <c r="F279" t="n">
        <v>74.48</v>
      </c>
      <c r="G279">
        <f>H279/60</f>
        <v/>
      </c>
      <c r="H279">
        <f>MEDIAN(I277,I278,I279,I280,I281)</f>
        <v/>
      </c>
      <c r="I279" t="n">
        <v>69</v>
      </c>
      <c r="J279">
        <f>H279-F279</f>
        <v/>
      </c>
      <c r="K279">
        <f>ABS(J279)</f>
        <v/>
      </c>
      <c r="L279">
        <f>K279/F279*100</f>
        <v/>
      </c>
    </row>
    <row r="280">
      <c r="A280" t="inlineStr">
        <is>
          <t>subject04</t>
        </is>
      </c>
      <c r="B280" t="n">
        <v>34</v>
      </c>
      <c r="C280" t="n">
        <v>165</v>
      </c>
      <c r="D280" t="n">
        <v>185</v>
      </c>
      <c r="E280" t="n">
        <v>1.2264</v>
      </c>
      <c r="F280" t="n">
        <v>73.58</v>
      </c>
      <c r="G280">
        <f>H280/60</f>
        <v/>
      </c>
      <c r="H280">
        <f>MEDIAN(I278,I279,I280,I281,I282)</f>
        <v/>
      </c>
      <c r="I280" t="n">
        <v>75</v>
      </c>
      <c r="J280">
        <f>H280-F280</f>
        <v/>
      </c>
      <c r="K280">
        <f>ABS(J280)</f>
        <v/>
      </c>
      <c r="L280">
        <f>K280/F280*100</f>
        <v/>
      </c>
    </row>
    <row r="281">
      <c r="A281" t="inlineStr">
        <is>
          <t>subject04</t>
        </is>
      </c>
      <c r="B281" t="n">
        <v>35</v>
      </c>
      <c r="C281" t="n">
        <v>170</v>
      </c>
      <c r="D281" t="n">
        <v>190</v>
      </c>
      <c r="E281" t="n">
        <v>1.2327</v>
      </c>
      <c r="F281" t="n">
        <v>73.95999999999999</v>
      </c>
      <c r="G281">
        <f>H281/60</f>
        <v/>
      </c>
      <c r="H281">
        <f>MEDIAN(I279,I280,I281,I282,I283)</f>
        <v/>
      </c>
      <c r="I281" t="n">
        <v>57</v>
      </c>
      <c r="J281">
        <f>H281-F281</f>
        <v/>
      </c>
      <c r="K281">
        <f>ABS(J281)</f>
        <v/>
      </c>
      <c r="L281">
        <f>K281/F281*100</f>
        <v/>
      </c>
    </row>
    <row r="282">
      <c r="A282" t="inlineStr">
        <is>
          <t>subject04</t>
        </is>
      </c>
      <c r="B282" t="n">
        <v>36</v>
      </c>
      <c r="C282" t="n">
        <v>175</v>
      </c>
      <c r="D282" t="n">
        <v>195</v>
      </c>
      <c r="E282" t="n">
        <v>1.2536</v>
      </c>
      <c r="F282" t="n">
        <v>75.22</v>
      </c>
      <c r="G282">
        <f>H282/60</f>
        <v/>
      </c>
      <c r="H282">
        <f>MEDIAN(I280,I281,I282,I283,I284)</f>
        <v/>
      </c>
      <c r="I282" t="n">
        <v>66</v>
      </c>
      <c r="J282">
        <f>H282-F282</f>
        <v/>
      </c>
      <c r="K282">
        <f>ABS(J282)</f>
        <v/>
      </c>
      <c r="L282">
        <f>K282/F282*100</f>
        <v/>
      </c>
    </row>
    <row r="283">
      <c r="A283" t="inlineStr">
        <is>
          <t>subject04</t>
        </is>
      </c>
      <c r="B283" t="n">
        <v>37</v>
      </c>
      <c r="C283" t="n">
        <v>180</v>
      </c>
      <c r="D283" t="n">
        <v>200</v>
      </c>
      <c r="E283" t="n">
        <v>1.2556</v>
      </c>
      <c r="F283" t="n">
        <v>75.34</v>
      </c>
      <c r="G283">
        <f>H283/60</f>
        <v/>
      </c>
      <c r="H283">
        <f>MEDIAN(I281,I282,I283,I284,I285)</f>
        <v/>
      </c>
      <c r="I283" t="n">
        <v>51</v>
      </c>
      <c r="J283">
        <f>H283-F283</f>
        <v/>
      </c>
      <c r="K283">
        <f>ABS(J283)</f>
        <v/>
      </c>
      <c r="L283">
        <f>K283/F283*100</f>
        <v/>
      </c>
    </row>
    <row r="284">
      <c r="A284" t="inlineStr">
        <is>
          <t>subject04</t>
        </is>
      </c>
      <c r="B284" t="n">
        <v>38</v>
      </c>
      <c r="C284" t="n">
        <v>185</v>
      </c>
      <c r="D284" t="n">
        <v>205</v>
      </c>
      <c r="E284" t="n">
        <v>1.2603</v>
      </c>
      <c r="F284" t="n">
        <v>75.62</v>
      </c>
      <c r="G284">
        <f>H284/60</f>
        <v/>
      </c>
      <c r="H284">
        <f>MEDIAN(I282,I283,I284,I285,I286)</f>
        <v/>
      </c>
      <c r="I284" t="n">
        <v>99</v>
      </c>
      <c r="J284">
        <f>H284-F284</f>
        <v/>
      </c>
      <c r="K284">
        <f>ABS(J284)</f>
        <v/>
      </c>
      <c r="L284">
        <f>K284/F284*100</f>
        <v/>
      </c>
    </row>
    <row r="285">
      <c r="A285" t="inlineStr">
        <is>
          <t>subject04</t>
        </is>
      </c>
      <c r="B285" t="n">
        <v>39</v>
      </c>
      <c r="C285" t="n">
        <v>190</v>
      </c>
      <c r="D285" t="n">
        <v>210</v>
      </c>
      <c r="E285" t="n">
        <v>1.2471</v>
      </c>
      <c r="F285" t="n">
        <v>74.83</v>
      </c>
      <c r="G285">
        <f>H285/60</f>
        <v/>
      </c>
      <c r="H285">
        <f>MEDIAN(I283,I284,I285,I286,I287)</f>
        <v/>
      </c>
      <c r="I285" t="n">
        <v>78</v>
      </c>
      <c r="J285">
        <f>H285-F285</f>
        <v/>
      </c>
      <c r="K285">
        <f>ABS(J285)</f>
        <v/>
      </c>
      <c r="L285">
        <f>K285/F285*100</f>
        <v/>
      </c>
    </row>
    <row r="286">
      <c r="A286" t="inlineStr">
        <is>
          <t>subject04</t>
        </is>
      </c>
      <c r="B286" t="n">
        <v>40</v>
      </c>
      <c r="C286" t="n">
        <v>195</v>
      </c>
      <c r="D286" t="n">
        <v>215</v>
      </c>
      <c r="E286" t="n">
        <v>1.2511</v>
      </c>
      <c r="F286" t="n">
        <v>75.06</v>
      </c>
      <c r="G286">
        <f>H286/60</f>
        <v/>
      </c>
      <c r="H286">
        <f>MEDIAN(I284,I285,I286,I287,I288)</f>
        <v/>
      </c>
      <c r="I286" t="n">
        <v>75</v>
      </c>
      <c r="J286">
        <f>H286-F286</f>
        <v/>
      </c>
      <c r="K286">
        <f>ABS(J286)</f>
        <v/>
      </c>
      <c r="L286">
        <f>K286/F286*100</f>
        <v/>
      </c>
    </row>
    <row r="287">
      <c r="A287" t="inlineStr">
        <is>
          <t>subject04</t>
        </is>
      </c>
      <c r="B287" t="n">
        <v>41</v>
      </c>
      <c r="C287" t="n">
        <v>200</v>
      </c>
      <c r="D287" t="n">
        <v>220</v>
      </c>
      <c r="E287" t="n">
        <v>1.2577</v>
      </c>
      <c r="F287" t="n">
        <v>75.45999999999999</v>
      </c>
      <c r="G287">
        <f>H287/60</f>
        <v/>
      </c>
      <c r="H287">
        <f>MEDIAN(I285,I286,I287,I288,I289)</f>
        <v/>
      </c>
      <c r="I287" t="n">
        <v>108</v>
      </c>
      <c r="J287">
        <f>H287-F287</f>
        <v/>
      </c>
      <c r="K287">
        <f>ABS(J287)</f>
        <v/>
      </c>
      <c r="L287">
        <f>K287/F287*100</f>
        <v/>
      </c>
    </row>
    <row r="288">
      <c r="A288" t="inlineStr">
        <is>
          <t>subject04</t>
        </is>
      </c>
      <c r="B288" t="n">
        <v>42</v>
      </c>
      <c r="C288" t="n">
        <v>205</v>
      </c>
      <c r="D288" t="n">
        <v>225</v>
      </c>
      <c r="E288" t="n">
        <v>1.2636</v>
      </c>
      <c r="F288" t="n">
        <v>75.81</v>
      </c>
      <c r="G288">
        <f>H288/60</f>
        <v/>
      </c>
      <c r="H288">
        <f>MEDIAN(I286,I287,I288,I289,I290)</f>
        <v/>
      </c>
      <c r="I288" t="n">
        <v>96</v>
      </c>
      <c r="J288">
        <f>H288-F288</f>
        <v/>
      </c>
      <c r="K288">
        <f>ABS(J288)</f>
        <v/>
      </c>
      <c r="L288">
        <f>K288/F288*100</f>
        <v/>
      </c>
    </row>
    <row r="289">
      <c r="A289" t="inlineStr">
        <is>
          <t>subject04</t>
        </is>
      </c>
      <c r="B289" t="n">
        <v>43</v>
      </c>
      <c r="C289" t="n">
        <v>210</v>
      </c>
      <c r="D289" t="n">
        <v>230</v>
      </c>
      <c r="E289" t="n">
        <v>1.275</v>
      </c>
      <c r="F289" t="n">
        <v>76.5</v>
      </c>
      <c r="G289">
        <f>H289/60</f>
        <v/>
      </c>
      <c r="H289">
        <f>MEDIAN(I287,I288,I289,I290,I291)</f>
        <v/>
      </c>
      <c r="I289" t="n">
        <v>72</v>
      </c>
      <c r="J289">
        <f>H289-F289</f>
        <v/>
      </c>
      <c r="K289">
        <f>ABS(J289)</f>
        <v/>
      </c>
      <c r="L289">
        <f>K289/F289*100</f>
        <v/>
      </c>
    </row>
    <row r="290">
      <c r="A290" t="inlineStr">
        <is>
          <t>subject04</t>
        </is>
      </c>
      <c r="B290" t="n">
        <v>44</v>
      </c>
      <c r="C290" t="n">
        <v>215</v>
      </c>
      <c r="D290" t="n">
        <v>235</v>
      </c>
      <c r="E290" t="n">
        <v>1.2733</v>
      </c>
      <c r="F290" t="n">
        <v>76.40000000000001</v>
      </c>
      <c r="G290">
        <f>H290/60</f>
        <v/>
      </c>
      <c r="H290">
        <f>MEDIAN(I288,I289,I290,I291,I292)</f>
        <v/>
      </c>
      <c r="I290" t="n">
        <v>63</v>
      </c>
      <c r="J290">
        <f>H290-F290</f>
        <v/>
      </c>
      <c r="K290">
        <f>ABS(J290)</f>
        <v/>
      </c>
      <c r="L290">
        <f>K290/F290*100</f>
        <v/>
      </c>
    </row>
    <row r="291">
      <c r="A291" t="inlineStr">
        <is>
          <t>subject04</t>
        </is>
      </c>
      <c r="B291" t="n">
        <v>45</v>
      </c>
      <c r="C291" t="n">
        <v>220</v>
      </c>
      <c r="D291" t="n">
        <v>240</v>
      </c>
      <c r="E291" t="n">
        <v>1.2512</v>
      </c>
      <c r="F291" t="n">
        <v>75.06999999999999</v>
      </c>
      <c r="G291">
        <f>H291/60</f>
        <v/>
      </c>
      <c r="H291">
        <f>MEDIAN(I289,I290,I291,I292,I293)</f>
        <v/>
      </c>
      <c r="I291" t="n">
        <v>57</v>
      </c>
      <c r="J291">
        <f>H291-F291</f>
        <v/>
      </c>
      <c r="K291">
        <f>ABS(J291)</f>
        <v/>
      </c>
      <c r="L291">
        <f>K291/F291*100</f>
        <v/>
      </c>
    </row>
    <row r="292">
      <c r="A292" t="inlineStr">
        <is>
          <t>subject04</t>
        </is>
      </c>
      <c r="B292" t="n">
        <v>46</v>
      </c>
      <c r="C292" t="n">
        <v>225</v>
      </c>
      <c r="D292" t="n">
        <v>245</v>
      </c>
      <c r="E292" t="n">
        <v>1.2528</v>
      </c>
      <c r="F292" t="n">
        <v>75.17</v>
      </c>
      <c r="G292">
        <f>H292/60</f>
        <v/>
      </c>
      <c r="H292">
        <f>MEDIAN(I290,I291,I292,I293,I294)</f>
        <v/>
      </c>
      <c r="I292" t="n">
        <v>60</v>
      </c>
      <c r="J292">
        <f>H292-F292</f>
        <v/>
      </c>
      <c r="K292">
        <f>ABS(J292)</f>
        <v/>
      </c>
      <c r="L292">
        <f>K292/F292*100</f>
        <v/>
      </c>
    </row>
    <row r="293">
      <c r="A293" t="inlineStr">
        <is>
          <t>subject04</t>
        </is>
      </c>
      <c r="B293" t="n">
        <v>47</v>
      </c>
      <c r="C293" t="n">
        <v>230</v>
      </c>
      <c r="D293" t="n">
        <v>250</v>
      </c>
      <c r="E293" t="n">
        <v>1.2461</v>
      </c>
      <c r="F293" t="n">
        <v>74.77</v>
      </c>
      <c r="G293">
        <f>H293/60</f>
        <v/>
      </c>
      <c r="H293">
        <f>MEDIAN(I291,I292,I293,I294,I295)</f>
        <v/>
      </c>
      <c r="I293" t="n">
        <v>57</v>
      </c>
      <c r="J293">
        <f>H293-F293</f>
        <v/>
      </c>
      <c r="K293">
        <f>ABS(J293)</f>
        <v/>
      </c>
      <c r="L293">
        <f>K293/F293*100</f>
        <v/>
      </c>
    </row>
    <row r="294">
      <c r="A294" t="inlineStr">
        <is>
          <t>subject04</t>
        </is>
      </c>
      <c r="B294" t="n">
        <v>48</v>
      </c>
      <c r="C294" t="n">
        <v>235</v>
      </c>
      <c r="D294" t="n">
        <v>255</v>
      </c>
      <c r="E294" t="n">
        <v>1.2398</v>
      </c>
      <c r="F294" t="n">
        <v>74.39</v>
      </c>
      <c r="G294">
        <f>H294/60</f>
        <v/>
      </c>
      <c r="H294">
        <f>MEDIAN(I292,I293,I294,I295,I296)</f>
        <v/>
      </c>
      <c r="I294" t="n">
        <v>54</v>
      </c>
      <c r="J294">
        <f>H294-F294</f>
        <v/>
      </c>
      <c r="K294">
        <f>ABS(J294)</f>
        <v/>
      </c>
      <c r="L294">
        <f>K294/F294*100</f>
        <v/>
      </c>
    </row>
    <row r="295">
      <c r="A295" t="inlineStr">
        <is>
          <t>subject04</t>
        </is>
      </c>
      <c r="B295" t="n">
        <v>49</v>
      </c>
      <c r="C295" t="n">
        <v>240</v>
      </c>
      <c r="D295" t="n">
        <v>260</v>
      </c>
      <c r="E295" t="n">
        <v>1.2722</v>
      </c>
      <c r="F295" t="n">
        <v>76.33</v>
      </c>
      <c r="G295">
        <f>H295/60</f>
        <v/>
      </c>
      <c r="H295">
        <f>MEDIAN(I293,I294,I295,I296,I297)</f>
        <v/>
      </c>
      <c r="I295" t="n">
        <v>81</v>
      </c>
      <c r="J295">
        <f>H295-F295</f>
        <v/>
      </c>
      <c r="K295">
        <f>ABS(J295)</f>
        <v/>
      </c>
      <c r="L295">
        <f>K295/F295*100</f>
        <v/>
      </c>
    </row>
    <row r="296">
      <c r="A296" t="inlineStr">
        <is>
          <t>subject04</t>
        </is>
      </c>
      <c r="B296" t="n">
        <v>50</v>
      </c>
      <c r="C296" t="n">
        <v>245</v>
      </c>
      <c r="D296" t="n">
        <v>265</v>
      </c>
      <c r="E296" t="n">
        <v>1.2872</v>
      </c>
      <c r="F296" t="n">
        <v>77.23</v>
      </c>
      <c r="G296">
        <f>H296/60</f>
        <v/>
      </c>
      <c r="H296">
        <f>MEDIAN(I294,I295,I296,I297,I298)</f>
        <v/>
      </c>
      <c r="I296" t="n">
        <v>84</v>
      </c>
      <c r="J296">
        <f>H296-F296</f>
        <v/>
      </c>
      <c r="K296">
        <f>ABS(J296)</f>
        <v/>
      </c>
      <c r="L296">
        <f>K296/F296*100</f>
        <v/>
      </c>
    </row>
    <row r="297">
      <c r="A297" t="inlineStr">
        <is>
          <t>subject04</t>
        </is>
      </c>
      <c r="B297" t="n">
        <v>51</v>
      </c>
      <c r="C297" t="n">
        <v>250</v>
      </c>
      <c r="D297" t="n">
        <v>270</v>
      </c>
      <c r="E297" t="n">
        <v>1.2931</v>
      </c>
      <c r="F297" t="n">
        <v>77.58</v>
      </c>
      <c r="G297">
        <f>H297/60</f>
        <v/>
      </c>
      <c r="H297">
        <f>MEDIAN(I295,I296,I297,I298,I299)</f>
        <v/>
      </c>
      <c r="I297" t="n">
        <v>87</v>
      </c>
      <c r="J297">
        <f>H297-F297</f>
        <v/>
      </c>
      <c r="K297">
        <f>ABS(J297)</f>
        <v/>
      </c>
      <c r="L297">
        <f>K297/F297*100</f>
        <v/>
      </c>
    </row>
    <row r="298">
      <c r="A298" t="inlineStr">
        <is>
          <t>subject04</t>
        </is>
      </c>
      <c r="B298" t="n">
        <v>52</v>
      </c>
      <c r="C298" t="n">
        <v>255</v>
      </c>
      <c r="D298" t="n">
        <v>275</v>
      </c>
      <c r="E298" t="n">
        <v>1.3089</v>
      </c>
      <c r="F298" t="n">
        <v>78.53</v>
      </c>
      <c r="G298">
        <f>H298/60</f>
        <v/>
      </c>
      <c r="H298">
        <f>MEDIAN(I296,I297,I298,I299,I300)</f>
        <v/>
      </c>
      <c r="I298" t="n">
        <v>54</v>
      </c>
      <c r="J298">
        <f>H298-F298</f>
        <v/>
      </c>
      <c r="K298">
        <f>ABS(J298)</f>
        <v/>
      </c>
      <c r="L298">
        <f>K298/F298*100</f>
        <v/>
      </c>
    </row>
    <row r="299">
      <c r="A299" t="inlineStr">
        <is>
          <t>subject04</t>
        </is>
      </c>
      <c r="B299" t="n">
        <v>53</v>
      </c>
      <c r="C299" t="n">
        <v>260</v>
      </c>
      <c r="D299" t="n">
        <v>280</v>
      </c>
      <c r="E299" t="n">
        <v>1.2938</v>
      </c>
      <c r="F299" t="n">
        <v>77.63</v>
      </c>
      <c r="G299">
        <f>H299/60</f>
        <v/>
      </c>
      <c r="H299">
        <f>MEDIAN(I297,I298,I299,I300,I301)</f>
        <v/>
      </c>
      <c r="I299" t="n">
        <v>54</v>
      </c>
      <c r="J299">
        <f>H299-F299</f>
        <v/>
      </c>
      <c r="K299">
        <f>ABS(J299)</f>
        <v/>
      </c>
      <c r="L299">
        <f>K299/F299*100</f>
        <v/>
      </c>
    </row>
    <row r="300">
      <c r="A300" t="inlineStr">
        <is>
          <t>subject04</t>
        </is>
      </c>
      <c r="B300" t="n">
        <v>54</v>
      </c>
      <c r="C300" t="n">
        <v>265</v>
      </c>
      <c r="D300" t="n">
        <v>285</v>
      </c>
      <c r="E300" t="n">
        <v>1.2831</v>
      </c>
      <c r="F300" t="n">
        <v>76.98</v>
      </c>
      <c r="G300">
        <f>H300/60</f>
        <v/>
      </c>
      <c r="H300">
        <f>MEDIAN(I298,I299,I300,I301,I302)</f>
        <v/>
      </c>
      <c r="I300" t="n">
        <v>54</v>
      </c>
      <c r="J300">
        <f>H300-F300</f>
        <v/>
      </c>
      <c r="K300">
        <f>ABS(J300)</f>
        <v/>
      </c>
      <c r="L300">
        <f>K300/F300*100</f>
        <v/>
      </c>
    </row>
    <row r="301">
      <c r="A301" t="inlineStr">
        <is>
          <t>subject04</t>
        </is>
      </c>
      <c r="B301" t="n">
        <v>55</v>
      </c>
      <c r="C301" t="n">
        <v>270</v>
      </c>
      <c r="D301" t="n">
        <v>290</v>
      </c>
      <c r="E301" t="n">
        <v>1.2864</v>
      </c>
      <c r="F301" t="n">
        <v>77.18000000000001</v>
      </c>
      <c r="G301">
        <f>H301/60</f>
        <v/>
      </c>
      <c r="H301">
        <f>MEDIAN(I299,I300,I301,I302,I303)</f>
        <v/>
      </c>
      <c r="I301" t="n">
        <v>51</v>
      </c>
      <c r="J301">
        <f>H301-F301</f>
        <v/>
      </c>
      <c r="K301">
        <f>ABS(J301)</f>
        <v/>
      </c>
      <c r="L301">
        <f>K301/F301*100</f>
        <v/>
      </c>
    </row>
    <row r="302">
      <c r="A302" t="inlineStr">
        <is>
          <t>subject04</t>
        </is>
      </c>
      <c r="B302" t="n">
        <v>56</v>
      </c>
      <c r="C302" t="n">
        <v>275</v>
      </c>
      <c r="D302" t="n">
        <v>295</v>
      </c>
      <c r="E302" t="n">
        <v>1.2719</v>
      </c>
      <c r="F302" t="n">
        <v>76.31</v>
      </c>
      <c r="G302">
        <f>H302/60</f>
        <v/>
      </c>
      <c r="H302">
        <f>MEDIAN(I300,I301,I302,I303,I304)</f>
        <v/>
      </c>
      <c r="I302" t="n">
        <v>51</v>
      </c>
      <c r="J302">
        <f>H302-F302</f>
        <v/>
      </c>
      <c r="K302">
        <f>ABS(J302)</f>
        <v/>
      </c>
      <c r="L302">
        <f>K302/F302*100</f>
        <v/>
      </c>
    </row>
    <row r="303">
      <c r="A303" t="inlineStr">
        <is>
          <t>subject04</t>
        </is>
      </c>
      <c r="B303" t="n">
        <v>57</v>
      </c>
      <c r="C303" t="n">
        <v>280</v>
      </c>
      <c r="D303" t="n">
        <v>300</v>
      </c>
      <c r="E303" t="n">
        <v>1.2735</v>
      </c>
      <c r="F303" t="n">
        <v>76.41</v>
      </c>
      <c r="G303">
        <f>H303/60</f>
        <v/>
      </c>
      <c r="H303">
        <f>MEDIAN(I301,I302,I303,I304,I305)</f>
        <v/>
      </c>
      <c r="I303" t="n">
        <v>51</v>
      </c>
      <c r="J303">
        <f>H303-F303</f>
        <v/>
      </c>
      <c r="K303">
        <f>ABS(J303)</f>
        <v/>
      </c>
      <c r="L303">
        <f>K303/F303*100</f>
        <v/>
      </c>
    </row>
    <row r="304">
      <c r="A304" t="inlineStr">
        <is>
          <t>subject04</t>
        </is>
      </c>
      <c r="B304" t="n">
        <v>58</v>
      </c>
      <c r="C304" t="n">
        <v>285</v>
      </c>
      <c r="D304" t="n">
        <v>305</v>
      </c>
      <c r="E304" t="n">
        <v>1.273</v>
      </c>
      <c r="F304" t="n">
        <v>76.38</v>
      </c>
      <c r="G304">
        <f>H304/60</f>
        <v/>
      </c>
      <c r="H304">
        <f>MEDIAN(I302,I303,I304,I305,I306)</f>
        <v/>
      </c>
      <c r="I304" t="n">
        <v>51</v>
      </c>
      <c r="J304">
        <f>H304-F304</f>
        <v/>
      </c>
      <c r="K304">
        <f>ABS(J304)</f>
        <v/>
      </c>
      <c r="L304">
        <f>K304/F304*100</f>
        <v/>
      </c>
    </row>
    <row r="305">
      <c r="A305" t="inlineStr">
        <is>
          <t>subject04</t>
        </is>
      </c>
      <c r="B305" t="n">
        <v>59</v>
      </c>
      <c r="C305" t="n">
        <v>290</v>
      </c>
      <c r="D305" t="n">
        <v>310</v>
      </c>
      <c r="E305" t="n">
        <v>1.2812</v>
      </c>
      <c r="F305" t="n">
        <v>76.87</v>
      </c>
      <c r="G305">
        <f>H305/60</f>
        <v/>
      </c>
      <c r="H305">
        <f>MEDIAN(I303,I304,I305,I306,I307)</f>
        <v/>
      </c>
      <c r="I305" t="n">
        <v>78</v>
      </c>
      <c r="J305">
        <f>H305-F305</f>
        <v/>
      </c>
      <c r="K305">
        <f>ABS(J305)</f>
        <v/>
      </c>
      <c r="L305">
        <f>K305/F305*100</f>
        <v/>
      </c>
    </row>
    <row r="306">
      <c r="A306" t="inlineStr">
        <is>
          <t>subject04</t>
        </is>
      </c>
      <c r="B306" t="n">
        <v>60</v>
      </c>
      <c r="C306" t="n">
        <v>295</v>
      </c>
      <c r="D306" t="n">
        <v>315</v>
      </c>
      <c r="E306" t="n">
        <v>1.283</v>
      </c>
      <c r="F306" t="n">
        <v>76.98</v>
      </c>
      <c r="G306">
        <f>H306/60</f>
        <v/>
      </c>
      <c r="H306">
        <f>MEDIAN(I304,I305,I306,I307,I308)</f>
        <v/>
      </c>
      <c r="I306" t="n">
        <v>57</v>
      </c>
      <c r="J306">
        <f>H306-F306</f>
        <v/>
      </c>
      <c r="K306">
        <f>ABS(J306)</f>
        <v/>
      </c>
      <c r="L306">
        <f>K306/F306*100</f>
        <v/>
      </c>
    </row>
    <row r="307">
      <c r="A307" t="inlineStr">
        <is>
          <t>subject04</t>
        </is>
      </c>
      <c r="B307" t="n">
        <v>61</v>
      </c>
      <c r="C307" t="n">
        <v>300</v>
      </c>
      <c r="D307" t="n">
        <v>320</v>
      </c>
      <c r="E307" t="n">
        <v>1.285</v>
      </c>
      <c r="F307" t="n">
        <v>77.09999999999999</v>
      </c>
      <c r="G307">
        <f>H307/60</f>
        <v/>
      </c>
      <c r="H307">
        <f>MEDIAN(I305,I306,I307,I308,I309)</f>
        <v/>
      </c>
      <c r="I307" t="n">
        <v>57</v>
      </c>
      <c r="J307">
        <f>H307-F307</f>
        <v/>
      </c>
      <c r="K307">
        <f>ABS(J307)</f>
        <v/>
      </c>
      <c r="L307">
        <f>K307/F307*100</f>
        <v/>
      </c>
    </row>
    <row r="308">
      <c r="A308" t="inlineStr">
        <is>
          <t>subject04</t>
        </is>
      </c>
      <c r="B308" t="n">
        <v>62</v>
      </c>
      <c r="C308" t="n">
        <v>305</v>
      </c>
      <c r="D308" t="n">
        <v>325</v>
      </c>
      <c r="E308" t="n">
        <v>1.2853</v>
      </c>
      <c r="F308" t="n">
        <v>77.12</v>
      </c>
      <c r="G308">
        <f>H308/60</f>
        <v/>
      </c>
      <c r="H308">
        <f>MEDIAN(I306,I307,I308,I309,I310)</f>
        <v/>
      </c>
      <c r="I308" t="n">
        <v>54</v>
      </c>
      <c r="J308">
        <f>H308-F308</f>
        <v/>
      </c>
      <c r="K308">
        <f>ABS(J308)</f>
        <v/>
      </c>
      <c r="L308">
        <f>K308/F308*100</f>
        <v/>
      </c>
    </row>
    <row r="309">
      <c r="A309" t="inlineStr">
        <is>
          <t>subject04</t>
        </is>
      </c>
      <c r="B309" t="n">
        <v>63</v>
      </c>
      <c r="C309" t="n">
        <v>310</v>
      </c>
      <c r="D309" t="n">
        <v>330</v>
      </c>
      <c r="E309" t="n">
        <v>1.2828</v>
      </c>
      <c r="F309" t="n">
        <v>76.97</v>
      </c>
      <c r="G309">
        <f>H309/60</f>
        <v/>
      </c>
      <c r="H309">
        <f>MEDIAN(I307,I308,I309,I310,I311)</f>
        <v/>
      </c>
      <c r="I309" t="n">
        <v>57</v>
      </c>
      <c r="J309">
        <f>H309-F309</f>
        <v/>
      </c>
      <c r="K309">
        <f>ABS(J309)</f>
        <v/>
      </c>
      <c r="L309">
        <f>K309/F309*100</f>
        <v/>
      </c>
    </row>
    <row r="310">
      <c r="A310" t="inlineStr">
        <is>
          <t>subject04</t>
        </is>
      </c>
      <c r="B310" t="n">
        <v>64</v>
      </c>
      <c r="C310" t="n">
        <v>315</v>
      </c>
      <c r="D310" t="n">
        <v>335</v>
      </c>
      <c r="E310" t="n">
        <v>1.2896</v>
      </c>
      <c r="F310" t="n">
        <v>77.37</v>
      </c>
      <c r="G310">
        <f>H310/60</f>
        <v/>
      </c>
      <c r="H310">
        <f>MEDIAN(I308,I309,I310,I311,I312)</f>
        <v/>
      </c>
      <c r="I310" t="n">
        <v>66</v>
      </c>
      <c r="J310">
        <f>H310-F310</f>
        <v/>
      </c>
      <c r="K310">
        <f>ABS(J310)</f>
        <v/>
      </c>
      <c r="L310">
        <f>K310/F310*100</f>
        <v/>
      </c>
    </row>
    <row r="311">
      <c r="A311" t="inlineStr">
        <is>
          <t>subject04</t>
        </is>
      </c>
      <c r="B311" t="n">
        <v>65</v>
      </c>
      <c r="C311" t="n">
        <v>320</v>
      </c>
      <c r="D311" t="n">
        <v>340</v>
      </c>
      <c r="E311" t="n">
        <v>1.2841</v>
      </c>
      <c r="F311" t="n">
        <v>77.05</v>
      </c>
      <c r="G311">
        <f>H311/60</f>
        <v/>
      </c>
      <c r="H311">
        <f>MEDIAN(I309,I310,I311,I312,I313)</f>
        <v/>
      </c>
      <c r="I311" t="n">
        <v>69</v>
      </c>
      <c r="J311">
        <f>H311-F311</f>
        <v/>
      </c>
      <c r="K311">
        <f>ABS(J311)</f>
        <v/>
      </c>
      <c r="L311">
        <f>K311/F311*100</f>
        <v/>
      </c>
    </row>
    <row r="312">
      <c r="A312" t="inlineStr">
        <is>
          <t>subject04</t>
        </is>
      </c>
      <c r="B312" t="n">
        <v>66</v>
      </c>
      <c r="C312" t="n">
        <v>325</v>
      </c>
      <c r="D312" t="n">
        <v>345</v>
      </c>
      <c r="E312" t="n">
        <v>1.2877</v>
      </c>
      <c r="F312" t="n">
        <v>77.26000000000001</v>
      </c>
      <c r="G312">
        <f>H312/60</f>
        <v/>
      </c>
      <c r="H312">
        <f>MEDIAN(I310,I311,I312,I313,I314)</f>
        <v/>
      </c>
      <c r="I312" t="n">
        <v>57</v>
      </c>
      <c r="J312">
        <f>H312-F312</f>
        <v/>
      </c>
      <c r="K312">
        <f>ABS(J312)</f>
        <v/>
      </c>
      <c r="L312">
        <f>K312/F312*100</f>
        <v/>
      </c>
    </row>
    <row r="313">
      <c r="A313" t="inlineStr">
        <is>
          <t>subject04</t>
        </is>
      </c>
      <c r="B313" t="n">
        <v>67</v>
      </c>
      <c r="C313" t="n">
        <v>330</v>
      </c>
      <c r="D313" t="n">
        <v>350</v>
      </c>
      <c r="E313" t="n">
        <v>1.2955</v>
      </c>
      <c r="F313" t="n">
        <v>77.73</v>
      </c>
      <c r="G313">
        <f>H313/60</f>
        <v/>
      </c>
      <c r="H313">
        <f>MEDIAN(I311,I312,I313,I314,I315)</f>
        <v/>
      </c>
      <c r="I313" t="n">
        <v>75</v>
      </c>
      <c r="J313">
        <f>H313-F313</f>
        <v/>
      </c>
      <c r="K313">
        <f>ABS(J313)</f>
        <v/>
      </c>
      <c r="L313">
        <f>K313/F313*100</f>
        <v/>
      </c>
    </row>
    <row r="314">
      <c r="A314" t="inlineStr">
        <is>
          <t>subject04</t>
        </is>
      </c>
      <c r="B314" t="n">
        <v>68</v>
      </c>
      <c r="C314" t="n">
        <v>335</v>
      </c>
      <c r="D314" t="n">
        <v>355</v>
      </c>
      <c r="E314" t="n">
        <v>1.2988</v>
      </c>
      <c r="F314" t="n">
        <v>77.93000000000001</v>
      </c>
      <c r="G314">
        <f>H314/60</f>
        <v/>
      </c>
      <c r="H314">
        <f>MEDIAN(I312,I313,I314,I315,I316)</f>
        <v/>
      </c>
      <c r="I314" t="n">
        <v>78</v>
      </c>
      <c r="J314">
        <f>H314-F314</f>
        <v/>
      </c>
      <c r="K314">
        <f>ABS(J314)</f>
        <v/>
      </c>
      <c r="L314">
        <f>K314/F314*100</f>
        <v/>
      </c>
    </row>
    <row r="315">
      <c r="A315" t="inlineStr">
        <is>
          <t>subject04</t>
        </is>
      </c>
      <c r="B315" t="n">
        <v>69</v>
      </c>
      <c r="C315" t="n">
        <v>340</v>
      </c>
      <c r="D315" t="n">
        <v>360</v>
      </c>
      <c r="E315" t="n">
        <v>1.3112</v>
      </c>
      <c r="F315" t="n">
        <v>78.67</v>
      </c>
      <c r="G315">
        <f>H315/60</f>
        <v/>
      </c>
      <c r="H315">
        <f>MEDIAN(I313,I314,I315,I316,I317)</f>
        <v/>
      </c>
      <c r="I315" t="n">
        <v>60</v>
      </c>
      <c r="J315">
        <f>H315-F315</f>
        <v/>
      </c>
      <c r="K315">
        <f>ABS(J315)</f>
        <v/>
      </c>
      <c r="L315">
        <f>K315/F315*100</f>
        <v/>
      </c>
    </row>
    <row r="316">
      <c r="A316" t="inlineStr">
        <is>
          <t>subject04</t>
        </is>
      </c>
      <c r="B316" t="n">
        <v>70</v>
      </c>
      <c r="C316" t="n">
        <v>345</v>
      </c>
      <c r="D316" t="n">
        <v>365</v>
      </c>
      <c r="E316" t="n">
        <v>1.3048</v>
      </c>
      <c r="F316" t="n">
        <v>78.29000000000001</v>
      </c>
      <c r="G316">
        <f>H316/60</f>
        <v/>
      </c>
      <c r="H316">
        <f>MEDIAN(I314,I315,I316,I317,I318)</f>
        <v/>
      </c>
      <c r="I316" t="n">
        <v>60</v>
      </c>
      <c r="J316">
        <f>H316-F316</f>
        <v/>
      </c>
      <c r="K316">
        <f>ABS(J316)</f>
        <v/>
      </c>
      <c r="L316">
        <f>K316/F316*100</f>
        <v/>
      </c>
    </row>
    <row r="317">
      <c r="A317" t="inlineStr">
        <is>
          <t>subject04</t>
        </is>
      </c>
      <c r="B317" t="n">
        <v>71</v>
      </c>
      <c r="C317" t="n">
        <v>350</v>
      </c>
      <c r="D317" t="n">
        <v>370</v>
      </c>
      <c r="E317" t="n">
        <v>1.3032</v>
      </c>
      <c r="F317" t="n">
        <v>78.19</v>
      </c>
      <c r="G317">
        <f>H317/60</f>
        <v/>
      </c>
      <c r="H317">
        <f>MEDIAN(I315,I316,I317,I318,I319)</f>
        <v/>
      </c>
      <c r="I317" t="n">
        <v>78</v>
      </c>
      <c r="J317">
        <f>H317-F317</f>
        <v/>
      </c>
      <c r="K317">
        <f>ABS(J317)</f>
        <v/>
      </c>
      <c r="L317">
        <f>K317/F317*100</f>
        <v/>
      </c>
    </row>
    <row r="318">
      <c r="A318" t="inlineStr">
        <is>
          <t>subject04</t>
        </is>
      </c>
      <c r="B318" t="n">
        <v>72</v>
      </c>
      <c r="C318" t="n">
        <v>355</v>
      </c>
      <c r="D318" t="n">
        <v>375</v>
      </c>
      <c r="E318" t="n">
        <v>1.2928</v>
      </c>
      <c r="F318" t="n">
        <v>77.56999999999999</v>
      </c>
      <c r="G318">
        <f>H318/60</f>
        <v/>
      </c>
      <c r="H318">
        <f>MEDIAN(I316,I317,I318,I319,I320)</f>
        <v/>
      </c>
      <c r="I318" t="n">
        <v>60</v>
      </c>
      <c r="J318">
        <f>H318-F318</f>
        <v/>
      </c>
      <c r="K318">
        <f>ABS(J318)</f>
        <v/>
      </c>
      <c r="L318">
        <f>K318/F318*100</f>
        <v/>
      </c>
    </row>
    <row r="319">
      <c r="A319" t="inlineStr">
        <is>
          <t>subject04</t>
        </is>
      </c>
      <c r="B319" t="n">
        <v>73</v>
      </c>
      <c r="C319" t="n">
        <v>360</v>
      </c>
      <c r="D319" t="n">
        <v>380</v>
      </c>
      <c r="E319" t="n">
        <v>1.2821</v>
      </c>
      <c r="F319" t="n">
        <v>76.92</v>
      </c>
      <c r="G319">
        <f>H319/60</f>
        <v/>
      </c>
      <c r="H319">
        <f>MEDIAN(I317,I318,I319,I320,I321)</f>
        <v/>
      </c>
      <c r="I319" t="n">
        <v>57</v>
      </c>
      <c r="J319">
        <f>H319-F319</f>
        <v/>
      </c>
      <c r="K319">
        <f>ABS(J319)</f>
        <v/>
      </c>
      <c r="L319">
        <f>K319/F319*100</f>
        <v/>
      </c>
    </row>
    <row r="320">
      <c r="A320" t="inlineStr">
        <is>
          <t>subject04</t>
        </is>
      </c>
      <c r="B320" t="n">
        <v>74</v>
      </c>
      <c r="C320" t="n">
        <v>365</v>
      </c>
      <c r="D320" t="n">
        <v>385</v>
      </c>
      <c r="E320" t="n">
        <v>1.2566</v>
      </c>
      <c r="F320" t="n">
        <v>75.40000000000001</v>
      </c>
      <c r="G320">
        <f>H320/60</f>
        <v/>
      </c>
      <c r="H320">
        <f>MEDIAN(I318,I319,I320,I321,I322)</f>
        <v/>
      </c>
      <c r="I320" t="n">
        <v>60</v>
      </c>
      <c r="J320">
        <f>H320-F320</f>
        <v/>
      </c>
      <c r="K320">
        <f>ABS(J320)</f>
        <v/>
      </c>
      <c r="L320">
        <f>K320/F320*100</f>
        <v/>
      </c>
    </row>
    <row r="321">
      <c r="A321" t="inlineStr">
        <is>
          <t>subject04</t>
        </is>
      </c>
      <c r="B321" t="n">
        <v>75</v>
      </c>
      <c r="C321" t="n">
        <v>370</v>
      </c>
      <c r="D321" t="n">
        <v>390</v>
      </c>
      <c r="E321" t="n">
        <v>1.2482</v>
      </c>
      <c r="F321" t="n">
        <v>74.89</v>
      </c>
      <c r="G321">
        <f>H321/60</f>
        <v/>
      </c>
      <c r="H321">
        <f>MEDIAN(I319,I320,I321,I322,I323)</f>
        <v/>
      </c>
      <c r="I321" t="n">
        <v>60</v>
      </c>
      <c r="J321">
        <f>H321-F321</f>
        <v/>
      </c>
      <c r="K321">
        <f>ABS(J321)</f>
        <v/>
      </c>
      <c r="L321">
        <f>K321/F321*100</f>
        <v/>
      </c>
    </row>
    <row r="322">
      <c r="A322" t="inlineStr">
        <is>
          <t>subject04</t>
        </is>
      </c>
      <c r="B322" t="n">
        <v>76</v>
      </c>
      <c r="C322" t="n">
        <v>375</v>
      </c>
      <c r="D322" t="n">
        <v>395</v>
      </c>
      <c r="E322" t="n">
        <v>1.2202</v>
      </c>
      <c r="F322" t="n">
        <v>73.20999999999999</v>
      </c>
      <c r="G322">
        <f>H322/60</f>
        <v/>
      </c>
      <c r="H322">
        <f>MEDIAN(I320,I321,I322,I323,I324)</f>
        <v/>
      </c>
      <c r="I322" t="n">
        <v>69</v>
      </c>
      <c r="J322">
        <f>H322-F322</f>
        <v/>
      </c>
      <c r="K322">
        <f>ABS(J322)</f>
        <v/>
      </c>
      <c r="L322">
        <f>K322/F322*100</f>
        <v/>
      </c>
    </row>
    <row r="323">
      <c r="A323" t="inlineStr">
        <is>
          <t>subject04</t>
        </is>
      </c>
      <c r="B323" t="n">
        <v>77</v>
      </c>
      <c r="C323" t="n">
        <v>380</v>
      </c>
      <c r="D323" t="n">
        <v>400</v>
      </c>
      <c r="E323" t="n">
        <v>1.2239</v>
      </c>
      <c r="F323" t="n">
        <v>73.43000000000001</v>
      </c>
      <c r="G323">
        <f>H323/60</f>
        <v/>
      </c>
      <c r="H323">
        <f>MEDIAN(I321,I322,I323,I324,I325)</f>
        <v/>
      </c>
      <c r="I323" t="n">
        <v>57</v>
      </c>
      <c r="J323">
        <f>H323-F323</f>
        <v/>
      </c>
      <c r="K323">
        <f>ABS(J323)</f>
        <v/>
      </c>
      <c r="L323">
        <f>K323/F323*100</f>
        <v/>
      </c>
    </row>
    <row r="324">
      <c r="A324" t="inlineStr">
        <is>
          <t>subject04</t>
        </is>
      </c>
      <c r="B324" t="n">
        <v>78</v>
      </c>
      <c r="C324" t="n">
        <v>385</v>
      </c>
      <c r="D324" t="n">
        <v>405</v>
      </c>
      <c r="E324" t="n">
        <v>1.2296</v>
      </c>
      <c r="F324" t="n">
        <v>73.78</v>
      </c>
      <c r="G324">
        <f>H324/60</f>
        <v/>
      </c>
      <c r="H324">
        <f>MEDIAN(I322,I323,I324,I325,I326)</f>
        <v/>
      </c>
      <c r="I324" t="n">
        <v>60</v>
      </c>
      <c r="J324">
        <f>H324-F324</f>
        <v/>
      </c>
      <c r="K324">
        <f>ABS(J324)</f>
        <v/>
      </c>
      <c r="L324">
        <f>K324/F324*100</f>
        <v/>
      </c>
    </row>
    <row r="325">
      <c r="A325" t="inlineStr">
        <is>
          <t>subject04</t>
        </is>
      </c>
      <c r="B325" t="n">
        <v>79</v>
      </c>
      <c r="C325" t="n">
        <v>390</v>
      </c>
      <c r="D325" t="n">
        <v>410</v>
      </c>
      <c r="E325" t="n">
        <v>1.228</v>
      </c>
      <c r="F325" t="n">
        <v>73.68000000000001</v>
      </c>
      <c r="G325">
        <f>H325/60</f>
        <v/>
      </c>
      <c r="H325">
        <f>MEDIAN(I323,I324,I325,I326,I327)</f>
        <v/>
      </c>
      <c r="I325" t="n">
        <v>63</v>
      </c>
      <c r="J325">
        <f>H325-F325</f>
        <v/>
      </c>
      <c r="K325">
        <f>ABS(J325)</f>
        <v/>
      </c>
      <c r="L325">
        <f>K325/F325*100</f>
        <v/>
      </c>
    </row>
    <row r="326">
      <c r="A326" t="inlineStr">
        <is>
          <t>subject04</t>
        </is>
      </c>
      <c r="B326" t="n">
        <v>80</v>
      </c>
      <c r="C326" t="n">
        <v>395</v>
      </c>
      <c r="D326" t="n">
        <v>415</v>
      </c>
      <c r="E326" t="n">
        <v>1.2477</v>
      </c>
      <c r="F326" t="n">
        <v>74.86</v>
      </c>
      <c r="G326">
        <f>H326/60</f>
        <v/>
      </c>
      <c r="H326">
        <f>MEDIAN(I324,I325,I326,I327,0)</f>
        <v/>
      </c>
      <c r="I326" t="n">
        <v>63</v>
      </c>
      <c r="J326">
        <f>H326-F326</f>
        <v/>
      </c>
      <c r="K326">
        <f>ABS(J326)</f>
        <v/>
      </c>
      <c r="L326">
        <f>K326/F326*100</f>
        <v/>
      </c>
    </row>
    <row r="327">
      <c r="A327" t="inlineStr">
        <is>
          <t>subject04</t>
        </is>
      </c>
      <c r="B327" t="n">
        <v>81</v>
      </c>
      <c r="C327" t="n">
        <v>400</v>
      </c>
      <c r="D327" t="n">
        <v>420</v>
      </c>
      <c r="E327" t="n">
        <v>1.2505</v>
      </c>
      <c r="F327" t="n">
        <v>75.03</v>
      </c>
      <c r="G327">
        <f>H327/60</f>
        <v/>
      </c>
      <c r="H327">
        <f>MEDIAN(I325,I326,I327,0,0)</f>
        <v/>
      </c>
      <c r="I327" t="n">
        <v>60</v>
      </c>
      <c r="J327">
        <f>H327-F327</f>
        <v/>
      </c>
      <c r="K327">
        <f>ABS(J327)</f>
        <v/>
      </c>
      <c r="L327">
        <f>K327/F327*100</f>
        <v/>
      </c>
    </row>
    <row r="328">
      <c r="A328" t="inlineStr">
        <is>
          <t>subject05</t>
        </is>
      </c>
      <c r="B328" t="n">
        <v>1</v>
      </c>
      <c r="C328" t="n">
        <v>0</v>
      </c>
      <c r="D328" t="n">
        <v>20</v>
      </c>
      <c r="E328" t="n">
        <v>1.1176</v>
      </c>
      <c r="F328" t="n">
        <v>67.06</v>
      </c>
      <c r="G328">
        <f>H328/60</f>
        <v/>
      </c>
      <c r="H328">
        <f>MEDIAN(0,0,I328,I329,I330)</f>
        <v/>
      </c>
      <c r="I328" t="n">
        <v>87</v>
      </c>
      <c r="J328">
        <f>H328-F328</f>
        <v/>
      </c>
      <c r="K328">
        <f>ABS(J328)</f>
        <v/>
      </c>
      <c r="L328">
        <f>K328/F328*100</f>
        <v/>
      </c>
    </row>
    <row r="329">
      <c r="A329" t="inlineStr">
        <is>
          <t>subject05</t>
        </is>
      </c>
      <c r="B329" t="n">
        <v>2</v>
      </c>
      <c r="C329" t="n">
        <v>5</v>
      </c>
      <c r="D329" t="n">
        <v>25</v>
      </c>
      <c r="E329" t="n">
        <v>1.1283</v>
      </c>
      <c r="F329" t="n">
        <v>67.7</v>
      </c>
      <c r="G329">
        <f>H329/60</f>
        <v/>
      </c>
      <c r="H329">
        <f>MEDIAN(0,I328,I329,I330,I331)</f>
        <v/>
      </c>
      <c r="I329" t="n">
        <v>63</v>
      </c>
      <c r="J329">
        <f>H329-F329</f>
        <v/>
      </c>
      <c r="K329">
        <f>ABS(J329)</f>
        <v/>
      </c>
      <c r="L329">
        <f>K329/F329*100</f>
        <v/>
      </c>
    </row>
    <row r="330">
      <c r="A330" t="inlineStr">
        <is>
          <t>subject05</t>
        </is>
      </c>
      <c r="B330" t="n">
        <v>3</v>
      </c>
      <c r="C330" t="n">
        <v>10</v>
      </c>
      <c r="D330" t="n">
        <v>30</v>
      </c>
      <c r="E330" t="n">
        <v>1.1248</v>
      </c>
      <c r="F330" t="n">
        <v>67.48999999999999</v>
      </c>
      <c r="G330">
        <f>H330/60</f>
        <v/>
      </c>
      <c r="H330">
        <f>MEDIAN(I328,I329,I330,I331,I332)</f>
        <v/>
      </c>
      <c r="I330" t="n">
        <v>63</v>
      </c>
      <c r="J330">
        <f>H330-F330</f>
        <v/>
      </c>
      <c r="K330">
        <f>ABS(J330)</f>
        <v/>
      </c>
      <c r="L330">
        <f>K330/F330*100</f>
        <v/>
      </c>
    </row>
    <row r="331">
      <c r="A331" t="inlineStr">
        <is>
          <t>subject05</t>
        </is>
      </c>
      <c r="B331" t="n">
        <v>4</v>
      </c>
      <c r="C331" t="n">
        <v>15</v>
      </c>
      <c r="D331" t="n">
        <v>35</v>
      </c>
      <c r="E331" t="n">
        <v>1.1383</v>
      </c>
      <c r="F331" t="n">
        <v>68.3</v>
      </c>
      <c r="G331">
        <f>H331/60</f>
        <v/>
      </c>
      <c r="H331">
        <f>MEDIAN(I329,I330,I331,I332,I333)</f>
        <v/>
      </c>
      <c r="I331" t="n">
        <v>63</v>
      </c>
      <c r="J331">
        <f>H331-F331</f>
        <v/>
      </c>
      <c r="K331">
        <f>ABS(J331)</f>
        <v/>
      </c>
      <c r="L331">
        <f>K331/F331*100</f>
        <v/>
      </c>
    </row>
    <row r="332">
      <c r="A332" t="inlineStr">
        <is>
          <t>subject05</t>
        </is>
      </c>
      <c r="B332" t="n">
        <v>5</v>
      </c>
      <c r="C332" t="n">
        <v>20</v>
      </c>
      <c r="D332" t="n">
        <v>40</v>
      </c>
      <c r="E332" t="n">
        <v>1.1506</v>
      </c>
      <c r="F332" t="n">
        <v>69.04000000000001</v>
      </c>
      <c r="G332">
        <f>H332/60</f>
        <v/>
      </c>
      <c r="H332">
        <f>MEDIAN(I330,I331,I332,I333,I334)</f>
        <v/>
      </c>
      <c r="I332" t="n">
        <v>84</v>
      </c>
      <c r="J332">
        <f>H332-F332</f>
        <v/>
      </c>
      <c r="K332">
        <f>ABS(J332)</f>
        <v/>
      </c>
      <c r="L332">
        <f>K332/F332*100</f>
        <v/>
      </c>
    </row>
    <row r="333">
      <c r="A333" t="inlineStr">
        <is>
          <t>subject05</t>
        </is>
      </c>
      <c r="B333" t="n">
        <v>6</v>
      </c>
      <c r="C333" t="n">
        <v>25</v>
      </c>
      <c r="D333" t="n">
        <v>45</v>
      </c>
      <c r="E333" t="n">
        <v>1.1216</v>
      </c>
      <c r="F333" t="n">
        <v>67.3</v>
      </c>
      <c r="G333">
        <f>H333/60</f>
        <v/>
      </c>
      <c r="H333">
        <f>MEDIAN(I331,I332,I333,I334,I335)</f>
        <v/>
      </c>
      <c r="I333" t="n">
        <v>87</v>
      </c>
      <c r="J333">
        <f>H333-F333</f>
        <v/>
      </c>
      <c r="K333">
        <f>ABS(J333)</f>
        <v/>
      </c>
      <c r="L333">
        <f>K333/F333*100</f>
        <v/>
      </c>
    </row>
    <row r="334">
      <c r="A334" t="inlineStr">
        <is>
          <t>subject05</t>
        </is>
      </c>
      <c r="B334" t="n">
        <v>7</v>
      </c>
      <c r="C334" t="n">
        <v>30</v>
      </c>
      <c r="D334" t="n">
        <v>50</v>
      </c>
      <c r="E334" t="n">
        <v>1.1188</v>
      </c>
      <c r="F334" t="n">
        <v>67.13</v>
      </c>
      <c r="G334">
        <f>H334/60</f>
        <v/>
      </c>
      <c r="H334">
        <f>MEDIAN(I332,I333,I334,I335,I336)</f>
        <v/>
      </c>
      <c r="I334" t="n">
        <v>63</v>
      </c>
      <c r="J334">
        <f>H334-F334</f>
        <v/>
      </c>
      <c r="K334">
        <f>ABS(J334)</f>
        <v/>
      </c>
      <c r="L334">
        <f>K334/F334*100</f>
        <v/>
      </c>
    </row>
    <row r="335">
      <c r="A335" t="inlineStr">
        <is>
          <t>subject05</t>
        </is>
      </c>
      <c r="B335" t="n">
        <v>8</v>
      </c>
      <c r="C335" t="n">
        <v>35</v>
      </c>
      <c r="D335" t="n">
        <v>55</v>
      </c>
      <c r="E335" t="n">
        <v>1.1384</v>
      </c>
      <c r="F335" t="n">
        <v>68.3</v>
      </c>
      <c r="G335">
        <f>H335/60</f>
        <v/>
      </c>
      <c r="H335">
        <f>MEDIAN(I333,I334,I335,I336,I337)</f>
        <v/>
      </c>
      <c r="I335" t="n">
        <v>63</v>
      </c>
      <c r="J335">
        <f>H335-F335</f>
        <v/>
      </c>
      <c r="K335">
        <f>ABS(J335)</f>
        <v/>
      </c>
      <c r="L335">
        <f>K335/F335*100</f>
        <v/>
      </c>
    </row>
    <row r="336">
      <c r="A336" t="inlineStr">
        <is>
          <t>subject05</t>
        </is>
      </c>
      <c r="B336" t="n">
        <v>9</v>
      </c>
      <c r="C336" t="n">
        <v>40</v>
      </c>
      <c r="D336" t="n">
        <v>60</v>
      </c>
      <c r="E336" t="n">
        <v>1.1395</v>
      </c>
      <c r="F336" t="n">
        <v>68.37</v>
      </c>
      <c r="G336">
        <f>H336/60</f>
        <v/>
      </c>
      <c r="H336">
        <f>MEDIAN(I334,I335,I336,I337,I338)</f>
        <v/>
      </c>
      <c r="I336" t="n">
        <v>90</v>
      </c>
      <c r="J336">
        <f>H336-F336</f>
        <v/>
      </c>
      <c r="K336">
        <f>ABS(J336)</f>
        <v/>
      </c>
      <c r="L336">
        <f>K336/F336*100</f>
        <v/>
      </c>
    </row>
    <row r="337">
      <c r="A337" t="inlineStr">
        <is>
          <t>subject05</t>
        </is>
      </c>
      <c r="B337" t="n">
        <v>10</v>
      </c>
      <c r="C337" t="n">
        <v>45</v>
      </c>
      <c r="D337" t="n">
        <v>65</v>
      </c>
      <c r="E337" t="n">
        <v>1.1435</v>
      </c>
      <c r="F337" t="n">
        <v>68.61</v>
      </c>
      <c r="G337">
        <f>H337/60</f>
        <v/>
      </c>
      <c r="H337">
        <f>MEDIAN(I335,I336,I337,I338,I339)</f>
        <v/>
      </c>
      <c r="I337" t="n">
        <v>69</v>
      </c>
      <c r="J337">
        <f>H337-F337</f>
        <v/>
      </c>
      <c r="K337">
        <f>ABS(J337)</f>
        <v/>
      </c>
      <c r="L337">
        <f>K337/F337*100</f>
        <v/>
      </c>
    </row>
    <row r="338">
      <c r="A338" t="inlineStr">
        <is>
          <t>subject05</t>
        </is>
      </c>
      <c r="B338" t="n">
        <v>11</v>
      </c>
      <c r="C338" t="n">
        <v>50</v>
      </c>
      <c r="D338" t="n">
        <v>70</v>
      </c>
      <c r="E338" t="n">
        <v>1.1483</v>
      </c>
      <c r="F338" t="n">
        <v>68.90000000000001</v>
      </c>
      <c r="G338">
        <f>H338/60</f>
        <v/>
      </c>
      <c r="H338">
        <f>MEDIAN(I336,I337,I338,I339,I340)</f>
        <v/>
      </c>
      <c r="I338" t="n">
        <v>69</v>
      </c>
      <c r="J338">
        <f>H338-F338</f>
        <v/>
      </c>
      <c r="K338">
        <f>ABS(J338)</f>
        <v/>
      </c>
      <c r="L338">
        <f>K338/F338*100</f>
        <v/>
      </c>
    </row>
    <row r="339">
      <c r="A339" t="inlineStr">
        <is>
          <t>subject05</t>
        </is>
      </c>
      <c r="B339" t="n">
        <v>12</v>
      </c>
      <c r="C339" t="n">
        <v>55</v>
      </c>
      <c r="D339" t="n">
        <v>75</v>
      </c>
      <c r="E339" t="n">
        <v>1.1357</v>
      </c>
      <c r="F339" t="n">
        <v>68.14</v>
      </c>
      <c r="G339">
        <f>H339/60</f>
        <v/>
      </c>
      <c r="H339">
        <f>MEDIAN(I337,I338,I339,I340,I341)</f>
        <v/>
      </c>
      <c r="I339" t="n">
        <v>66</v>
      </c>
      <c r="J339">
        <f>H339-F339</f>
        <v/>
      </c>
      <c r="K339">
        <f>ABS(J339)</f>
        <v/>
      </c>
      <c r="L339">
        <f>K339/F339*100</f>
        <v/>
      </c>
    </row>
    <row r="340">
      <c r="A340" t="inlineStr">
        <is>
          <t>subject05</t>
        </is>
      </c>
      <c r="B340" t="n">
        <v>13</v>
      </c>
      <c r="C340" t="n">
        <v>60</v>
      </c>
      <c r="D340" t="n">
        <v>80</v>
      </c>
      <c r="E340" t="n">
        <v>1.1381</v>
      </c>
      <c r="F340" t="n">
        <v>68.29000000000001</v>
      </c>
      <c r="G340">
        <f>H340/60</f>
        <v/>
      </c>
      <c r="H340">
        <f>MEDIAN(I338,I339,I340,I341,I342)</f>
        <v/>
      </c>
      <c r="I340" t="n">
        <v>66</v>
      </c>
      <c r="J340">
        <f>H340-F340</f>
        <v/>
      </c>
      <c r="K340">
        <f>ABS(J340)</f>
        <v/>
      </c>
      <c r="L340">
        <f>K340/F340*100</f>
        <v/>
      </c>
    </row>
    <row r="341">
      <c r="A341" t="inlineStr">
        <is>
          <t>subject05</t>
        </is>
      </c>
      <c r="B341" t="n">
        <v>14</v>
      </c>
      <c r="C341" t="n">
        <v>65</v>
      </c>
      <c r="D341" t="n">
        <v>85</v>
      </c>
      <c r="E341" t="n">
        <v>1.1389</v>
      </c>
      <c r="F341" t="n">
        <v>68.33</v>
      </c>
      <c r="G341">
        <f>H341/60</f>
        <v/>
      </c>
      <c r="H341">
        <f>MEDIAN(I339,I340,I341,I342,I343)</f>
        <v/>
      </c>
      <c r="I341" t="n">
        <v>69</v>
      </c>
      <c r="J341">
        <f>H341-F341</f>
        <v/>
      </c>
      <c r="K341">
        <f>ABS(J341)</f>
        <v/>
      </c>
      <c r="L341">
        <f>K341/F341*100</f>
        <v/>
      </c>
    </row>
    <row r="342">
      <c r="A342" t="inlineStr">
        <is>
          <t>subject05</t>
        </is>
      </c>
      <c r="B342" t="n">
        <v>15</v>
      </c>
      <c r="C342" t="n">
        <v>70</v>
      </c>
      <c r="D342" t="n">
        <v>90</v>
      </c>
      <c r="E342" t="n">
        <v>1.1342</v>
      </c>
      <c r="F342" t="n">
        <v>68.05</v>
      </c>
      <c r="G342">
        <f>H342/60</f>
        <v/>
      </c>
      <c r="H342">
        <f>MEDIAN(I340,I341,I342,I343,I344)</f>
        <v/>
      </c>
      <c r="I342" t="n">
        <v>93</v>
      </c>
      <c r="J342">
        <f>H342-F342</f>
        <v/>
      </c>
      <c r="K342">
        <f>ABS(J342)</f>
        <v/>
      </c>
      <c r="L342">
        <f>K342/F342*100</f>
        <v/>
      </c>
    </row>
    <row r="343">
      <c r="A343" t="inlineStr">
        <is>
          <t>subject05</t>
        </is>
      </c>
      <c r="B343" t="n">
        <v>16</v>
      </c>
      <c r="C343" t="n">
        <v>75</v>
      </c>
      <c r="D343" t="n">
        <v>95</v>
      </c>
      <c r="E343" t="n">
        <v>1.1239</v>
      </c>
      <c r="F343" t="n">
        <v>67.44</v>
      </c>
      <c r="G343">
        <f>H343/60</f>
        <v/>
      </c>
      <c r="H343">
        <f>MEDIAN(I341,I342,I343,I344,I345)</f>
        <v/>
      </c>
      <c r="I343" t="n">
        <v>96</v>
      </c>
      <c r="J343">
        <f>H343-F343</f>
        <v/>
      </c>
      <c r="K343">
        <f>ABS(J343)</f>
        <v/>
      </c>
      <c r="L343">
        <f>K343/F343*100</f>
        <v/>
      </c>
    </row>
    <row r="344">
      <c r="A344" t="inlineStr">
        <is>
          <t>subject05</t>
        </is>
      </c>
      <c r="B344" t="n">
        <v>17</v>
      </c>
      <c r="C344" t="n">
        <v>80</v>
      </c>
      <c r="D344" t="n">
        <v>100</v>
      </c>
      <c r="E344" t="n">
        <v>1.1155</v>
      </c>
      <c r="F344" t="n">
        <v>66.93000000000001</v>
      </c>
      <c r="G344">
        <f>H344/60</f>
        <v/>
      </c>
      <c r="H344">
        <f>MEDIAN(I342,I343,I344,I345,I346)</f>
        <v/>
      </c>
      <c r="I344" t="n">
        <v>66</v>
      </c>
      <c r="J344">
        <f>H344-F344</f>
        <v/>
      </c>
      <c r="K344">
        <f>ABS(J344)</f>
        <v/>
      </c>
      <c r="L344">
        <f>K344/F344*100</f>
        <v/>
      </c>
    </row>
    <row r="345">
      <c r="A345" t="inlineStr">
        <is>
          <t>subject05</t>
        </is>
      </c>
      <c r="B345" t="n">
        <v>18</v>
      </c>
      <c r="C345" t="n">
        <v>85</v>
      </c>
      <c r="D345" t="n">
        <v>105</v>
      </c>
      <c r="E345" t="n">
        <v>1.0989</v>
      </c>
      <c r="F345" t="n">
        <v>65.93000000000001</v>
      </c>
      <c r="G345">
        <f>H345/60</f>
        <v/>
      </c>
      <c r="H345">
        <f>MEDIAN(I343,I344,I345,I346,I347)</f>
        <v/>
      </c>
      <c r="I345" t="n">
        <v>66</v>
      </c>
      <c r="J345">
        <f>H345-F345</f>
        <v/>
      </c>
      <c r="K345">
        <f>ABS(J345)</f>
        <v/>
      </c>
      <c r="L345">
        <f>K345/F345*100</f>
        <v/>
      </c>
    </row>
    <row r="346">
      <c r="A346" t="inlineStr">
        <is>
          <t>subject05</t>
        </is>
      </c>
      <c r="B346" t="n">
        <v>19</v>
      </c>
      <c r="C346" t="n">
        <v>90</v>
      </c>
      <c r="D346" t="n">
        <v>110</v>
      </c>
      <c r="E346" t="n">
        <v>1.0941</v>
      </c>
      <c r="F346" t="n">
        <v>65.65000000000001</v>
      </c>
      <c r="G346">
        <f>H346/60</f>
        <v/>
      </c>
      <c r="H346">
        <f>MEDIAN(I344,I345,I346,I347,I348)</f>
        <v/>
      </c>
      <c r="I346" t="n">
        <v>51</v>
      </c>
      <c r="J346">
        <f>H346-F346</f>
        <v/>
      </c>
      <c r="K346">
        <f>ABS(J346)</f>
        <v/>
      </c>
      <c r="L346">
        <f>K346/F346*100</f>
        <v/>
      </c>
    </row>
    <row r="347">
      <c r="A347" t="inlineStr">
        <is>
          <t>subject05</t>
        </is>
      </c>
      <c r="B347" t="n">
        <v>20</v>
      </c>
      <c r="C347" t="n">
        <v>95</v>
      </c>
      <c r="D347" t="n">
        <v>115</v>
      </c>
      <c r="E347" t="n">
        <v>1.1095</v>
      </c>
      <c r="F347" t="n">
        <v>66.56999999999999</v>
      </c>
      <c r="G347">
        <f>H347/60</f>
        <v/>
      </c>
      <c r="H347">
        <f>MEDIAN(I345,I346,I347,I348,I349)</f>
        <v/>
      </c>
      <c r="I347" t="n">
        <v>72</v>
      </c>
      <c r="J347">
        <f>H347-F347</f>
        <v/>
      </c>
      <c r="K347">
        <f>ABS(J347)</f>
        <v/>
      </c>
      <c r="L347">
        <f>K347/F347*100</f>
        <v/>
      </c>
    </row>
    <row r="348">
      <c r="A348" t="inlineStr">
        <is>
          <t>subject05</t>
        </is>
      </c>
      <c r="B348" t="n">
        <v>21</v>
      </c>
      <c r="C348" t="n">
        <v>100</v>
      </c>
      <c r="D348" t="n">
        <v>120</v>
      </c>
      <c r="E348" t="n">
        <v>1.1087</v>
      </c>
      <c r="F348" t="n">
        <v>66.52</v>
      </c>
      <c r="G348">
        <f>H348/60</f>
        <v/>
      </c>
      <c r="H348">
        <f>MEDIAN(I346,I347,I348,I349,I350)</f>
        <v/>
      </c>
      <c r="I348" t="n">
        <v>72</v>
      </c>
      <c r="J348">
        <f>H348-F348</f>
        <v/>
      </c>
      <c r="K348">
        <f>ABS(J348)</f>
        <v/>
      </c>
      <c r="L348">
        <f>K348/F348*100</f>
        <v/>
      </c>
    </row>
    <row r="349">
      <c r="A349" t="inlineStr">
        <is>
          <t>subject05</t>
        </is>
      </c>
      <c r="B349" t="n">
        <v>22</v>
      </c>
      <c r="C349" t="n">
        <v>105</v>
      </c>
      <c r="D349" t="n">
        <v>125</v>
      </c>
      <c r="E349" t="n">
        <v>1.1291</v>
      </c>
      <c r="F349" t="n">
        <v>67.73999999999999</v>
      </c>
      <c r="G349">
        <f>H349/60</f>
        <v/>
      </c>
      <c r="H349">
        <f>MEDIAN(I347,I348,I349,I350,I351)</f>
        <v/>
      </c>
      <c r="I349" t="n">
        <v>69</v>
      </c>
      <c r="J349">
        <f>H349-F349</f>
        <v/>
      </c>
      <c r="K349">
        <f>ABS(J349)</f>
        <v/>
      </c>
      <c r="L349">
        <f>K349/F349*100</f>
        <v/>
      </c>
    </row>
    <row r="350">
      <c r="A350" t="inlineStr">
        <is>
          <t>subject05</t>
        </is>
      </c>
      <c r="B350" t="n">
        <v>23</v>
      </c>
      <c r="C350" t="n">
        <v>110</v>
      </c>
      <c r="D350" t="n">
        <v>130</v>
      </c>
      <c r="E350" t="n">
        <v>1.134</v>
      </c>
      <c r="F350" t="n">
        <v>68.04000000000001</v>
      </c>
      <c r="G350">
        <f>H350/60</f>
        <v/>
      </c>
      <c r="H350">
        <f>MEDIAN(I348,I349,I350,I351,I352)</f>
        <v/>
      </c>
      <c r="I350" t="n">
        <v>69</v>
      </c>
      <c r="J350">
        <f>H350-F350</f>
        <v/>
      </c>
      <c r="K350">
        <f>ABS(J350)</f>
        <v/>
      </c>
      <c r="L350">
        <f>K350/F350*100</f>
        <v/>
      </c>
    </row>
    <row r="351">
      <c r="A351" t="inlineStr">
        <is>
          <t>subject05</t>
        </is>
      </c>
      <c r="B351" t="n">
        <v>24</v>
      </c>
      <c r="C351" t="n">
        <v>115</v>
      </c>
      <c r="D351" t="n">
        <v>135</v>
      </c>
      <c r="E351" t="n">
        <v>1.1351</v>
      </c>
      <c r="F351" t="n">
        <v>68.11</v>
      </c>
      <c r="G351">
        <f>H351/60</f>
        <v/>
      </c>
      <c r="H351">
        <f>MEDIAN(I349,I350,I351,I352,I353)</f>
        <v/>
      </c>
      <c r="I351" t="n">
        <v>69</v>
      </c>
      <c r="J351">
        <f>H351-F351</f>
        <v/>
      </c>
      <c r="K351">
        <f>ABS(J351)</f>
        <v/>
      </c>
      <c r="L351">
        <f>K351/F351*100</f>
        <v/>
      </c>
    </row>
    <row r="352">
      <c r="A352" t="inlineStr">
        <is>
          <t>subject05</t>
        </is>
      </c>
      <c r="B352" t="n">
        <v>25</v>
      </c>
      <c r="C352" t="n">
        <v>120</v>
      </c>
      <c r="D352" t="n">
        <v>140</v>
      </c>
      <c r="E352" t="n">
        <v>1.1534</v>
      </c>
      <c r="F352" t="n">
        <v>69.2</v>
      </c>
      <c r="G352">
        <f>H352/60</f>
        <v/>
      </c>
      <c r="H352">
        <f>MEDIAN(I350,I351,I352,I353,I354)</f>
        <v/>
      </c>
      <c r="I352" t="n">
        <v>75</v>
      </c>
      <c r="J352">
        <f>H352-F352</f>
        <v/>
      </c>
      <c r="K352">
        <f>ABS(J352)</f>
        <v/>
      </c>
      <c r="L352">
        <f>K352/F352*100</f>
        <v/>
      </c>
    </row>
    <row r="353">
      <c r="A353" t="inlineStr">
        <is>
          <t>subject05</t>
        </is>
      </c>
      <c r="B353" t="n">
        <v>26</v>
      </c>
      <c r="C353" t="n">
        <v>125</v>
      </c>
      <c r="D353" t="n">
        <v>145</v>
      </c>
      <c r="E353" t="n">
        <v>1.1561</v>
      </c>
      <c r="F353" t="n">
        <v>69.36</v>
      </c>
      <c r="G353">
        <f>H353/60</f>
        <v/>
      </c>
      <c r="H353">
        <f>MEDIAN(I351,I352,I353,I354,I355)</f>
        <v/>
      </c>
      <c r="I353" t="n">
        <v>78</v>
      </c>
      <c r="J353">
        <f>H353-F353</f>
        <v/>
      </c>
      <c r="K353">
        <f>ABS(J353)</f>
        <v/>
      </c>
      <c r="L353">
        <f>K353/F353*100</f>
        <v/>
      </c>
    </row>
    <row r="354">
      <c r="A354" t="inlineStr">
        <is>
          <t>subject05</t>
        </is>
      </c>
      <c r="B354" t="n">
        <v>27</v>
      </c>
      <c r="C354" t="n">
        <v>130</v>
      </c>
      <c r="D354" t="n">
        <v>150</v>
      </c>
      <c r="E354" t="n">
        <v>1.1761</v>
      </c>
      <c r="F354" t="n">
        <v>70.56</v>
      </c>
      <c r="G354">
        <f>H354/60</f>
        <v/>
      </c>
      <c r="H354">
        <f>MEDIAN(I352,I353,I354,I355,I356)</f>
        <v/>
      </c>
      <c r="I354" t="n">
        <v>90</v>
      </c>
      <c r="J354">
        <f>H354-F354</f>
        <v/>
      </c>
      <c r="K354">
        <f>ABS(J354)</f>
        <v/>
      </c>
      <c r="L354">
        <f>K354/F354*100</f>
        <v/>
      </c>
    </row>
    <row r="355">
      <c r="A355" t="inlineStr">
        <is>
          <t>subject05</t>
        </is>
      </c>
      <c r="B355" t="n">
        <v>28</v>
      </c>
      <c r="C355" t="n">
        <v>135</v>
      </c>
      <c r="D355" t="n">
        <v>155</v>
      </c>
      <c r="E355" t="n">
        <v>1.1666</v>
      </c>
      <c r="F355" t="n">
        <v>70</v>
      </c>
      <c r="G355">
        <f>H355/60</f>
        <v/>
      </c>
      <c r="H355">
        <f>MEDIAN(I353,I354,I355,I356,I357)</f>
        <v/>
      </c>
      <c r="I355" t="n">
        <v>87</v>
      </c>
      <c r="J355">
        <f>H355-F355</f>
        <v/>
      </c>
      <c r="K355">
        <f>ABS(J355)</f>
        <v/>
      </c>
      <c r="L355">
        <f>K355/F355*100</f>
        <v/>
      </c>
    </row>
    <row r="356">
      <c r="A356" t="inlineStr">
        <is>
          <t>subject05</t>
        </is>
      </c>
      <c r="B356" t="n">
        <v>29</v>
      </c>
      <c r="C356" t="n">
        <v>140</v>
      </c>
      <c r="D356" t="n">
        <v>160</v>
      </c>
      <c r="E356" t="n">
        <v>1.1438</v>
      </c>
      <c r="F356" t="n">
        <v>68.63</v>
      </c>
      <c r="G356">
        <f>H356/60</f>
        <v/>
      </c>
      <c r="H356">
        <f>MEDIAN(I354,I355,I356,I357,I358)</f>
        <v/>
      </c>
      <c r="I356" t="n">
        <v>87</v>
      </c>
      <c r="J356">
        <f>H356-F356</f>
        <v/>
      </c>
      <c r="K356">
        <f>ABS(J356)</f>
        <v/>
      </c>
      <c r="L356">
        <f>K356/F356*100</f>
        <v/>
      </c>
    </row>
    <row r="357">
      <c r="A357" t="inlineStr">
        <is>
          <t>subject05</t>
        </is>
      </c>
      <c r="B357" t="n">
        <v>30</v>
      </c>
      <c r="C357" t="n">
        <v>145</v>
      </c>
      <c r="D357" t="n">
        <v>165</v>
      </c>
      <c r="E357" t="n">
        <v>1.1173</v>
      </c>
      <c r="F357" t="n">
        <v>67.04000000000001</v>
      </c>
      <c r="G357">
        <f>H357/60</f>
        <v/>
      </c>
      <c r="H357">
        <f>MEDIAN(I355,I356,I357,I358,I359)</f>
        <v/>
      </c>
      <c r="I357" t="n">
        <v>99</v>
      </c>
      <c r="J357">
        <f>H357-F357</f>
        <v/>
      </c>
      <c r="K357">
        <f>ABS(J357)</f>
        <v/>
      </c>
      <c r="L357">
        <f>K357/F357*100</f>
        <v/>
      </c>
    </row>
    <row r="358">
      <c r="A358" t="inlineStr">
        <is>
          <t>subject05</t>
        </is>
      </c>
      <c r="B358" t="n">
        <v>31</v>
      </c>
      <c r="C358" t="n">
        <v>150</v>
      </c>
      <c r="D358" t="n">
        <v>170</v>
      </c>
      <c r="E358" t="n">
        <v>1.0826</v>
      </c>
      <c r="F358" t="n">
        <v>64.95999999999999</v>
      </c>
      <c r="G358">
        <f>H358/60</f>
        <v/>
      </c>
      <c r="H358">
        <f>MEDIAN(I356,I357,I358,I359,I360)</f>
        <v/>
      </c>
      <c r="I358" t="n">
        <v>87</v>
      </c>
      <c r="J358">
        <f>H358-F358</f>
        <v/>
      </c>
      <c r="K358">
        <f>ABS(J358)</f>
        <v/>
      </c>
      <c r="L358">
        <f>K358/F358*100</f>
        <v/>
      </c>
    </row>
    <row r="359">
      <c r="A359" t="inlineStr">
        <is>
          <t>subject05</t>
        </is>
      </c>
      <c r="B359" t="n">
        <v>32</v>
      </c>
      <c r="C359" t="n">
        <v>155</v>
      </c>
      <c r="D359" t="n">
        <v>175</v>
      </c>
      <c r="E359" t="n">
        <v>1.0698</v>
      </c>
      <c r="F359" t="n">
        <v>64.19</v>
      </c>
      <c r="G359">
        <f>H359/60</f>
        <v/>
      </c>
      <c r="H359">
        <f>MEDIAN(I357,I358,I359,I360,I361)</f>
        <v/>
      </c>
      <c r="I359" t="n">
        <v>66</v>
      </c>
      <c r="J359">
        <f>H359-F359</f>
        <v/>
      </c>
      <c r="K359">
        <f>ABS(J359)</f>
        <v/>
      </c>
      <c r="L359">
        <f>K359/F359*100</f>
        <v/>
      </c>
    </row>
    <row r="360">
      <c r="A360" t="inlineStr">
        <is>
          <t>subject05</t>
        </is>
      </c>
      <c r="B360" t="n">
        <v>33</v>
      </c>
      <c r="C360" t="n">
        <v>160</v>
      </c>
      <c r="D360" t="n">
        <v>180</v>
      </c>
      <c r="E360" t="n">
        <v>1.0671</v>
      </c>
      <c r="F360" t="n">
        <v>64.02</v>
      </c>
      <c r="G360">
        <f>H360/60</f>
        <v/>
      </c>
      <c r="H360">
        <f>MEDIAN(I358,I359,I360,I361,I362)</f>
        <v/>
      </c>
      <c r="I360" t="n">
        <v>63</v>
      </c>
      <c r="J360">
        <f>H360-F360</f>
        <v/>
      </c>
      <c r="K360">
        <f>ABS(J360)</f>
        <v/>
      </c>
      <c r="L360">
        <f>K360/F360*100</f>
        <v/>
      </c>
    </row>
    <row r="361">
      <c r="A361" t="inlineStr">
        <is>
          <t>subject05</t>
        </is>
      </c>
      <c r="B361" t="n">
        <v>34</v>
      </c>
      <c r="C361" t="n">
        <v>165</v>
      </c>
      <c r="D361" t="n">
        <v>185</v>
      </c>
      <c r="E361" t="n">
        <v>1.0599</v>
      </c>
      <c r="F361" t="n">
        <v>63.59</v>
      </c>
      <c r="G361">
        <f>H361/60</f>
        <v/>
      </c>
      <c r="H361">
        <f>MEDIAN(I359,I360,I361,I362,I363)</f>
        <v/>
      </c>
      <c r="I361" t="n">
        <v>57</v>
      </c>
      <c r="J361">
        <f>H361-F361</f>
        <v/>
      </c>
      <c r="K361">
        <f>ABS(J361)</f>
        <v/>
      </c>
      <c r="L361">
        <f>K361/F361*100</f>
        <v/>
      </c>
    </row>
    <row r="362">
      <c r="A362" t="inlineStr">
        <is>
          <t>subject05</t>
        </is>
      </c>
      <c r="B362" t="n">
        <v>35</v>
      </c>
      <c r="C362" t="n">
        <v>170</v>
      </c>
      <c r="D362" t="n">
        <v>190</v>
      </c>
      <c r="E362" t="n">
        <v>1.0686</v>
      </c>
      <c r="F362" t="n">
        <v>64.12</v>
      </c>
      <c r="G362">
        <f>H362/60</f>
        <v/>
      </c>
      <c r="H362">
        <f>MEDIAN(I360,I361,I362,I363,I364)</f>
        <v/>
      </c>
      <c r="I362" t="n">
        <v>90</v>
      </c>
      <c r="J362">
        <f>H362-F362</f>
        <v/>
      </c>
      <c r="K362">
        <f>ABS(J362)</f>
        <v/>
      </c>
      <c r="L362">
        <f>K362/F362*100</f>
        <v/>
      </c>
    </row>
    <row r="363">
      <c r="A363" t="inlineStr">
        <is>
          <t>subject05</t>
        </is>
      </c>
      <c r="B363" t="n">
        <v>36</v>
      </c>
      <c r="C363" t="n">
        <v>175</v>
      </c>
      <c r="D363" t="n">
        <v>195</v>
      </c>
      <c r="E363" t="n">
        <v>1.069</v>
      </c>
      <c r="F363" t="n">
        <v>64.14</v>
      </c>
      <c r="G363">
        <f>H363/60</f>
        <v/>
      </c>
      <c r="H363">
        <f>MEDIAN(I361,I362,I363,I364,I365)</f>
        <v/>
      </c>
      <c r="I363" t="n">
        <v>66</v>
      </c>
      <c r="J363">
        <f>H363-F363</f>
        <v/>
      </c>
      <c r="K363">
        <f>ABS(J363)</f>
        <v/>
      </c>
      <c r="L363">
        <f>K363/F363*100</f>
        <v/>
      </c>
    </row>
    <row r="364">
      <c r="A364" t="inlineStr">
        <is>
          <t>subject05</t>
        </is>
      </c>
      <c r="B364" t="n">
        <v>37</v>
      </c>
      <c r="C364" t="n">
        <v>180</v>
      </c>
      <c r="D364" t="n">
        <v>200</v>
      </c>
      <c r="E364" t="n">
        <v>1.074</v>
      </c>
      <c r="F364" t="n">
        <v>64.44</v>
      </c>
      <c r="G364">
        <f>H364/60</f>
        <v/>
      </c>
      <c r="H364">
        <f>MEDIAN(I362,I363,I364,I365,I366)</f>
        <v/>
      </c>
      <c r="I364" t="n">
        <v>66</v>
      </c>
      <c r="J364">
        <f>H364-F364</f>
        <v/>
      </c>
      <c r="K364">
        <f>ABS(J364)</f>
        <v/>
      </c>
      <c r="L364">
        <f>K364/F364*100</f>
        <v/>
      </c>
    </row>
    <row r="365">
      <c r="A365" t="inlineStr">
        <is>
          <t>subject05</t>
        </is>
      </c>
      <c r="B365" t="n">
        <v>38</v>
      </c>
      <c r="C365" t="n">
        <v>185</v>
      </c>
      <c r="D365" t="n">
        <v>205</v>
      </c>
      <c r="E365" t="n">
        <v>1.089</v>
      </c>
      <c r="F365" t="n">
        <v>65.34</v>
      </c>
      <c r="G365">
        <f>H365/60</f>
        <v/>
      </c>
      <c r="H365">
        <f>MEDIAN(I363,I364,I365,I366,I367)</f>
        <v/>
      </c>
      <c r="I365" t="n">
        <v>66</v>
      </c>
      <c r="J365">
        <f>H365-F365</f>
        <v/>
      </c>
      <c r="K365">
        <f>ABS(J365)</f>
        <v/>
      </c>
      <c r="L365">
        <f>K365/F365*100</f>
        <v/>
      </c>
    </row>
    <row r="366">
      <c r="A366" t="inlineStr">
        <is>
          <t>subject05</t>
        </is>
      </c>
      <c r="B366" t="n">
        <v>39</v>
      </c>
      <c r="C366" t="n">
        <v>190</v>
      </c>
      <c r="D366" t="n">
        <v>210</v>
      </c>
      <c r="E366" t="n">
        <v>1.087</v>
      </c>
      <c r="F366" t="n">
        <v>65.22</v>
      </c>
      <c r="G366">
        <f>H366/60</f>
        <v/>
      </c>
      <c r="H366">
        <f>MEDIAN(I364,I365,I366,I367,I368)</f>
        <v/>
      </c>
      <c r="I366" t="n">
        <v>69</v>
      </c>
      <c r="J366">
        <f>H366-F366</f>
        <v/>
      </c>
      <c r="K366">
        <f>ABS(J366)</f>
        <v/>
      </c>
      <c r="L366">
        <f>K366/F366*100</f>
        <v/>
      </c>
    </row>
    <row r="367">
      <c r="A367" t="inlineStr">
        <is>
          <t>subject05</t>
        </is>
      </c>
      <c r="B367" t="n">
        <v>40</v>
      </c>
      <c r="C367" t="n">
        <v>195</v>
      </c>
      <c r="D367" t="n">
        <v>215</v>
      </c>
      <c r="E367" t="n">
        <v>1.0891</v>
      </c>
      <c r="F367" t="n">
        <v>65.34</v>
      </c>
      <c r="G367">
        <f>H367/60</f>
        <v/>
      </c>
      <c r="H367">
        <f>MEDIAN(I365,I366,I367,I368,I369)</f>
        <v/>
      </c>
      <c r="I367" t="n">
        <v>84</v>
      </c>
      <c r="J367">
        <f>H367-F367</f>
        <v/>
      </c>
      <c r="K367">
        <f>ABS(J367)</f>
        <v/>
      </c>
      <c r="L367">
        <f>K367/F367*100</f>
        <v/>
      </c>
    </row>
    <row r="368">
      <c r="A368" t="inlineStr">
        <is>
          <t>subject05</t>
        </is>
      </c>
      <c r="B368" t="n">
        <v>41</v>
      </c>
      <c r="C368" t="n">
        <v>200</v>
      </c>
      <c r="D368" t="n">
        <v>220</v>
      </c>
      <c r="E368" t="n">
        <v>1.0918</v>
      </c>
      <c r="F368" t="n">
        <v>65.51000000000001</v>
      </c>
      <c r="G368">
        <f>H368/60</f>
        <v/>
      </c>
      <c r="H368">
        <f>MEDIAN(I366,I367,I368,I369,I370)</f>
        <v/>
      </c>
      <c r="I368" t="n">
        <v>87</v>
      </c>
      <c r="J368">
        <f>H368-F368</f>
        <v/>
      </c>
      <c r="K368">
        <f>ABS(J368)</f>
        <v/>
      </c>
      <c r="L368">
        <f>K368/F368*100</f>
        <v/>
      </c>
    </row>
    <row r="369">
      <c r="A369" t="inlineStr">
        <is>
          <t>subject05</t>
        </is>
      </c>
      <c r="B369" t="n">
        <v>42</v>
      </c>
      <c r="C369" t="n">
        <v>205</v>
      </c>
      <c r="D369" t="n">
        <v>225</v>
      </c>
      <c r="E369" t="n">
        <v>1.0988</v>
      </c>
      <c r="F369" t="n">
        <v>65.93000000000001</v>
      </c>
      <c r="G369">
        <f>H369/60</f>
        <v/>
      </c>
      <c r="H369">
        <f>MEDIAN(I367,I368,I369,I370,I371)</f>
        <v/>
      </c>
      <c r="I369" t="n">
        <v>57</v>
      </c>
      <c r="J369">
        <f>H369-F369</f>
        <v/>
      </c>
      <c r="K369">
        <f>ABS(J369)</f>
        <v/>
      </c>
      <c r="L369">
        <f>K369/F369*100</f>
        <v/>
      </c>
    </row>
    <row r="370">
      <c r="A370" t="inlineStr">
        <is>
          <t>subject05</t>
        </is>
      </c>
      <c r="B370" t="n">
        <v>43</v>
      </c>
      <c r="C370" t="n">
        <v>210</v>
      </c>
      <c r="D370" t="n">
        <v>230</v>
      </c>
      <c r="E370" t="n">
        <v>1.1037</v>
      </c>
      <c r="F370" t="n">
        <v>66.22</v>
      </c>
      <c r="G370">
        <f>H370/60</f>
        <v/>
      </c>
      <c r="H370">
        <f>MEDIAN(I368,I369,I370,I371,I372)</f>
        <v/>
      </c>
      <c r="I370" t="n">
        <v>57</v>
      </c>
      <c r="J370">
        <f>H370-F370</f>
        <v/>
      </c>
      <c r="K370">
        <f>ABS(J370)</f>
        <v/>
      </c>
      <c r="L370">
        <f>K370/F370*100</f>
        <v/>
      </c>
    </row>
    <row r="371">
      <c r="A371" t="inlineStr">
        <is>
          <t>subject05</t>
        </is>
      </c>
      <c r="B371" t="n">
        <v>44</v>
      </c>
      <c r="C371" t="n">
        <v>215</v>
      </c>
      <c r="D371" t="n">
        <v>235</v>
      </c>
      <c r="E371" t="n">
        <v>1.1028</v>
      </c>
      <c r="F371" t="n">
        <v>66.17</v>
      </c>
      <c r="G371">
        <f>H371/60</f>
        <v/>
      </c>
      <c r="H371">
        <f>MEDIAN(I369,I370,I371,I372,I373)</f>
        <v/>
      </c>
      <c r="I371" t="n">
        <v>75</v>
      </c>
      <c r="J371">
        <f>H371-F371</f>
        <v/>
      </c>
      <c r="K371">
        <f>ABS(J371)</f>
        <v/>
      </c>
      <c r="L371">
        <f>K371/F371*100</f>
        <v/>
      </c>
    </row>
    <row r="372">
      <c r="A372" t="inlineStr">
        <is>
          <t>subject05</t>
        </is>
      </c>
      <c r="B372" t="n">
        <v>45</v>
      </c>
      <c r="C372" t="n">
        <v>220</v>
      </c>
      <c r="D372" t="n">
        <v>240</v>
      </c>
      <c r="E372" t="n">
        <v>1.1155</v>
      </c>
      <c r="F372" t="n">
        <v>66.93000000000001</v>
      </c>
      <c r="G372">
        <f>H372/60</f>
        <v/>
      </c>
      <c r="H372">
        <f>MEDIAN(I370,I371,I372,I373,I374)</f>
        <v/>
      </c>
      <c r="I372" t="n">
        <v>75</v>
      </c>
      <c r="J372">
        <f>H372-F372</f>
        <v/>
      </c>
      <c r="K372">
        <f>ABS(J372)</f>
        <v/>
      </c>
      <c r="L372">
        <f>K372/F372*100</f>
        <v/>
      </c>
    </row>
    <row r="373">
      <c r="A373" t="inlineStr">
        <is>
          <t>subject05</t>
        </is>
      </c>
      <c r="B373" t="n">
        <v>46</v>
      </c>
      <c r="C373" t="n">
        <v>225</v>
      </c>
      <c r="D373" t="n">
        <v>245</v>
      </c>
      <c r="E373" t="n">
        <v>1.115</v>
      </c>
      <c r="F373" t="n">
        <v>66.90000000000001</v>
      </c>
      <c r="G373">
        <f>H373/60</f>
        <v/>
      </c>
      <c r="H373">
        <f>MEDIAN(I371,I372,I373,I374,I375)</f>
        <v/>
      </c>
      <c r="I373" t="n">
        <v>84</v>
      </c>
      <c r="J373">
        <f>H373-F373</f>
        <v/>
      </c>
      <c r="K373">
        <f>ABS(J373)</f>
        <v/>
      </c>
      <c r="L373">
        <f>K373/F373*100</f>
        <v/>
      </c>
    </row>
    <row r="374">
      <c r="A374" t="inlineStr">
        <is>
          <t>subject05</t>
        </is>
      </c>
      <c r="B374" t="n">
        <v>47</v>
      </c>
      <c r="C374" t="n">
        <v>230</v>
      </c>
      <c r="D374" t="n">
        <v>250</v>
      </c>
      <c r="E374" t="n">
        <v>1.112</v>
      </c>
      <c r="F374" t="n">
        <v>66.72</v>
      </c>
      <c r="G374">
        <f>H374/60</f>
        <v/>
      </c>
      <c r="H374">
        <f>MEDIAN(I372,I373,I374,I375,I376)</f>
        <v/>
      </c>
      <c r="I374" t="n">
        <v>87</v>
      </c>
      <c r="J374">
        <f>H374-F374</f>
        <v/>
      </c>
      <c r="K374">
        <f>ABS(J374)</f>
        <v/>
      </c>
      <c r="L374">
        <f>K374/F374*100</f>
        <v/>
      </c>
    </row>
    <row r="375">
      <c r="A375" t="inlineStr">
        <is>
          <t>subject05</t>
        </is>
      </c>
      <c r="B375" t="n">
        <v>48</v>
      </c>
      <c r="C375" t="n">
        <v>235</v>
      </c>
      <c r="D375" t="n">
        <v>255</v>
      </c>
      <c r="E375" t="n">
        <v>1.1253</v>
      </c>
      <c r="F375" t="n">
        <v>67.52</v>
      </c>
      <c r="G375">
        <f>H375/60</f>
        <v/>
      </c>
      <c r="H375">
        <f>MEDIAN(I373,I374,I375,I376,I377)</f>
        <v/>
      </c>
      <c r="I375" t="n">
        <v>54</v>
      </c>
      <c r="J375">
        <f>H375-F375</f>
        <v/>
      </c>
      <c r="K375">
        <f>ABS(J375)</f>
        <v/>
      </c>
      <c r="L375">
        <f>K375/F375*100</f>
        <v/>
      </c>
    </row>
    <row r="376">
      <c r="A376" t="inlineStr">
        <is>
          <t>subject05</t>
        </is>
      </c>
      <c r="B376" t="n">
        <v>49</v>
      </c>
      <c r="C376" t="n">
        <v>240</v>
      </c>
      <c r="D376" t="n">
        <v>260</v>
      </c>
      <c r="E376" t="n">
        <v>1.1126</v>
      </c>
      <c r="F376" t="n">
        <v>66.76000000000001</v>
      </c>
      <c r="G376">
        <f>H376/60</f>
        <v/>
      </c>
      <c r="H376">
        <f>MEDIAN(I374,I375,I376,I377,I378)</f>
        <v/>
      </c>
      <c r="I376" t="n">
        <v>57</v>
      </c>
      <c r="J376">
        <f>H376-F376</f>
        <v/>
      </c>
      <c r="K376">
        <f>ABS(J376)</f>
        <v/>
      </c>
      <c r="L376">
        <f>K376/F376*100</f>
        <v/>
      </c>
    </row>
    <row r="377">
      <c r="A377" t="inlineStr">
        <is>
          <t>subject05</t>
        </is>
      </c>
      <c r="B377" t="n">
        <v>50</v>
      </c>
      <c r="C377" t="n">
        <v>245</v>
      </c>
      <c r="D377" t="n">
        <v>265</v>
      </c>
      <c r="E377" t="n">
        <v>1.1366</v>
      </c>
      <c r="F377" t="n">
        <v>68.2</v>
      </c>
      <c r="G377">
        <f>H377/60</f>
        <v/>
      </c>
      <c r="H377">
        <f>MEDIAN(I375,I376,I377,I378,I379)</f>
        <v/>
      </c>
      <c r="I377" t="n">
        <v>57</v>
      </c>
      <c r="J377">
        <f>H377-F377</f>
        <v/>
      </c>
      <c r="K377">
        <f>ABS(J377)</f>
        <v/>
      </c>
      <c r="L377">
        <f>K377/F377*100</f>
        <v/>
      </c>
    </row>
    <row r="378">
      <c r="A378" t="inlineStr">
        <is>
          <t>subject05</t>
        </is>
      </c>
      <c r="B378" t="n">
        <v>51</v>
      </c>
      <c r="C378" t="n">
        <v>250</v>
      </c>
      <c r="D378" t="n">
        <v>270</v>
      </c>
      <c r="E378" t="n">
        <v>1.1509</v>
      </c>
      <c r="F378" t="n">
        <v>69.05</v>
      </c>
      <c r="G378">
        <f>H378/60</f>
        <v/>
      </c>
      <c r="H378">
        <f>MEDIAN(I376,I377,I378,I379,I380)</f>
        <v/>
      </c>
      <c r="I378" t="n">
        <v>57</v>
      </c>
      <c r="J378">
        <f>H378-F378</f>
        <v/>
      </c>
      <c r="K378">
        <f>ABS(J378)</f>
        <v/>
      </c>
      <c r="L378">
        <f>K378/F378*100</f>
        <v/>
      </c>
    </row>
    <row r="379">
      <c r="A379" t="inlineStr">
        <is>
          <t>subject05</t>
        </is>
      </c>
      <c r="B379" t="n">
        <v>52</v>
      </c>
      <c r="C379" t="n">
        <v>255</v>
      </c>
      <c r="D379" t="n">
        <v>275</v>
      </c>
      <c r="E379" t="n">
        <v>1.1582</v>
      </c>
      <c r="F379" t="n">
        <v>69.48999999999999</v>
      </c>
      <c r="G379">
        <f>H379/60</f>
        <v/>
      </c>
      <c r="H379">
        <f>MEDIAN(I377,I378,I379,I380,I381)</f>
        <v/>
      </c>
      <c r="I379" t="n">
        <v>72</v>
      </c>
      <c r="J379">
        <f>H379-F379</f>
        <v/>
      </c>
      <c r="K379">
        <f>ABS(J379)</f>
        <v/>
      </c>
      <c r="L379">
        <f>K379/F379*100</f>
        <v/>
      </c>
    </row>
    <row r="380">
      <c r="A380" t="inlineStr">
        <is>
          <t>subject05</t>
        </is>
      </c>
      <c r="B380" t="n">
        <v>53</v>
      </c>
      <c r="C380" t="n">
        <v>260</v>
      </c>
      <c r="D380" t="n">
        <v>280</v>
      </c>
      <c r="E380" t="n">
        <v>1.1758</v>
      </c>
      <c r="F380" t="n">
        <v>70.55</v>
      </c>
      <c r="G380">
        <f>H380/60</f>
        <v/>
      </c>
      <c r="H380">
        <f>MEDIAN(I378,I379,I380,I381,I382)</f>
        <v/>
      </c>
      <c r="I380" t="n">
        <v>72</v>
      </c>
      <c r="J380">
        <f>H380-F380</f>
        <v/>
      </c>
      <c r="K380">
        <f>ABS(J380)</f>
        <v/>
      </c>
      <c r="L380">
        <f>K380/F380*100</f>
        <v/>
      </c>
    </row>
    <row r="381">
      <c r="A381" t="inlineStr">
        <is>
          <t>subject05</t>
        </is>
      </c>
      <c r="B381" t="n">
        <v>54</v>
      </c>
      <c r="C381" t="n">
        <v>265</v>
      </c>
      <c r="D381" t="n">
        <v>285</v>
      </c>
      <c r="E381" t="n">
        <v>1.1674</v>
      </c>
      <c r="F381" t="n">
        <v>70.05</v>
      </c>
      <c r="G381">
        <f>H381/60</f>
        <v/>
      </c>
      <c r="H381">
        <f>MEDIAN(I379,I380,I381,I382,I383)</f>
        <v/>
      </c>
      <c r="I381" t="n">
        <v>69</v>
      </c>
      <c r="J381">
        <f>H381-F381</f>
        <v/>
      </c>
      <c r="K381">
        <f>ABS(J381)</f>
        <v/>
      </c>
      <c r="L381">
        <f>K381/F381*100</f>
        <v/>
      </c>
    </row>
    <row r="382">
      <c r="A382" t="inlineStr">
        <is>
          <t>subject05</t>
        </is>
      </c>
      <c r="B382" t="n">
        <v>55</v>
      </c>
      <c r="C382" t="n">
        <v>270</v>
      </c>
      <c r="D382" t="n">
        <v>290</v>
      </c>
      <c r="E382" t="n">
        <v>1.1665</v>
      </c>
      <c r="F382" t="n">
        <v>69.98999999999999</v>
      </c>
      <c r="G382">
        <f>H382/60</f>
        <v/>
      </c>
      <c r="H382">
        <f>MEDIAN(I380,I381,I382,I383,I384)</f>
        <v/>
      </c>
      <c r="I382" t="n">
        <v>69</v>
      </c>
      <c r="J382">
        <f>H382-F382</f>
        <v/>
      </c>
      <c r="K382">
        <f>ABS(J382)</f>
        <v/>
      </c>
      <c r="L382">
        <f>K382/F382*100</f>
        <v/>
      </c>
    </row>
    <row r="383">
      <c r="A383" t="inlineStr">
        <is>
          <t>subject05</t>
        </is>
      </c>
      <c r="B383" t="n">
        <v>56</v>
      </c>
      <c r="C383" t="n">
        <v>275</v>
      </c>
      <c r="D383" t="n">
        <v>295</v>
      </c>
      <c r="E383" t="n">
        <v>1.1888</v>
      </c>
      <c r="F383" t="n">
        <v>71.33</v>
      </c>
      <c r="G383">
        <f>H383/60</f>
        <v/>
      </c>
      <c r="H383">
        <f>MEDIAN(I381,I382,I383,I384,I385)</f>
        <v/>
      </c>
      <c r="I383" t="n">
        <v>69</v>
      </c>
      <c r="J383">
        <f>H383-F383</f>
        <v/>
      </c>
      <c r="K383">
        <f>ABS(J383)</f>
        <v/>
      </c>
      <c r="L383">
        <f>K383/F383*100</f>
        <v/>
      </c>
    </row>
    <row r="384">
      <c r="A384" t="inlineStr">
        <is>
          <t>subject05</t>
        </is>
      </c>
      <c r="B384" t="n">
        <v>57</v>
      </c>
      <c r="C384" t="n">
        <v>280</v>
      </c>
      <c r="D384" t="n">
        <v>300</v>
      </c>
      <c r="E384" t="n">
        <v>1.2282</v>
      </c>
      <c r="F384" t="n">
        <v>73.69</v>
      </c>
      <c r="G384">
        <f>H384/60</f>
        <v/>
      </c>
      <c r="H384">
        <f>MEDIAN(I382,I383,I384,I385,I386)</f>
        <v/>
      </c>
      <c r="I384" t="n">
        <v>87</v>
      </c>
      <c r="J384">
        <f>H384-F384</f>
        <v/>
      </c>
      <c r="K384">
        <f>ABS(J384)</f>
        <v/>
      </c>
      <c r="L384">
        <f>K384/F384*100</f>
        <v/>
      </c>
    </row>
    <row r="385">
      <c r="A385" t="inlineStr">
        <is>
          <t>subject05</t>
        </is>
      </c>
      <c r="B385" t="n">
        <v>58</v>
      </c>
      <c r="C385" t="n">
        <v>285</v>
      </c>
      <c r="D385" t="n">
        <v>305</v>
      </c>
      <c r="E385" t="n">
        <v>1.2454</v>
      </c>
      <c r="F385" t="n">
        <v>74.72</v>
      </c>
      <c r="G385">
        <f>H385/60</f>
        <v/>
      </c>
      <c r="H385">
        <f>MEDIAN(I383,I384,I385,I386,I387)</f>
        <v/>
      </c>
      <c r="I385" t="n">
        <v>87</v>
      </c>
      <c r="J385">
        <f>H385-F385</f>
        <v/>
      </c>
      <c r="K385">
        <f>ABS(J385)</f>
        <v/>
      </c>
      <c r="L385">
        <f>K385/F385*100</f>
        <v/>
      </c>
    </row>
    <row r="386">
      <c r="A386" t="inlineStr">
        <is>
          <t>subject05</t>
        </is>
      </c>
      <c r="B386" t="n">
        <v>59</v>
      </c>
      <c r="C386" t="n">
        <v>290</v>
      </c>
      <c r="D386" t="n">
        <v>310</v>
      </c>
      <c r="E386" t="n">
        <v>1.283</v>
      </c>
      <c r="F386" t="n">
        <v>76.98</v>
      </c>
      <c r="G386">
        <f>H386/60</f>
        <v/>
      </c>
      <c r="H386">
        <f>MEDIAN(I384,I385,I386,I387,I388)</f>
        <v/>
      </c>
      <c r="I386" t="n">
        <v>78</v>
      </c>
      <c r="J386">
        <f>H386-F386</f>
        <v/>
      </c>
      <c r="K386">
        <f>ABS(J386)</f>
        <v/>
      </c>
      <c r="L386">
        <f>K386/F386*100</f>
        <v/>
      </c>
    </row>
    <row r="387">
      <c r="A387" t="inlineStr">
        <is>
          <t>subject05</t>
        </is>
      </c>
      <c r="B387" t="n">
        <v>60</v>
      </c>
      <c r="C387" t="n">
        <v>295</v>
      </c>
      <c r="D387" t="n">
        <v>315</v>
      </c>
      <c r="E387" t="n">
        <v>1.2841</v>
      </c>
      <c r="F387" t="n">
        <v>77.05</v>
      </c>
      <c r="G387">
        <f>H387/60</f>
        <v/>
      </c>
      <c r="H387">
        <f>MEDIAN(I385,I386,I387,I388,I389)</f>
        <v/>
      </c>
      <c r="I387" t="n">
        <v>78</v>
      </c>
      <c r="J387">
        <f>H387-F387</f>
        <v/>
      </c>
      <c r="K387">
        <f>ABS(J387)</f>
        <v/>
      </c>
      <c r="L387">
        <f>K387/F387*100</f>
        <v/>
      </c>
    </row>
    <row r="388">
      <c r="A388" t="inlineStr">
        <is>
          <t>subject05</t>
        </is>
      </c>
      <c r="B388" t="n">
        <v>61</v>
      </c>
      <c r="C388" t="n">
        <v>300</v>
      </c>
      <c r="D388" t="n">
        <v>320</v>
      </c>
      <c r="E388" t="n">
        <v>1.2779</v>
      </c>
      <c r="F388" t="n">
        <v>76.67</v>
      </c>
      <c r="G388">
        <f>H388/60</f>
        <v/>
      </c>
      <c r="H388">
        <f>MEDIAN(I386,I387,I388,I389,I390)</f>
        <v/>
      </c>
      <c r="I388" t="n">
        <v>75</v>
      </c>
      <c r="J388">
        <f>H388-F388</f>
        <v/>
      </c>
      <c r="K388">
        <f>ABS(J388)</f>
        <v/>
      </c>
      <c r="L388">
        <f>K388/F388*100</f>
        <v/>
      </c>
    </row>
    <row r="389">
      <c r="A389" t="inlineStr">
        <is>
          <t>subject05</t>
        </is>
      </c>
      <c r="B389" t="n">
        <v>62</v>
      </c>
      <c r="C389" t="n">
        <v>305</v>
      </c>
      <c r="D389" t="n">
        <v>325</v>
      </c>
      <c r="E389" t="n">
        <v>1.2493</v>
      </c>
      <c r="F389" t="n">
        <v>74.95999999999999</v>
      </c>
      <c r="G389">
        <f>H389/60</f>
        <v/>
      </c>
      <c r="H389">
        <f>MEDIAN(I387,I388,I389,I390,I391)</f>
        <v/>
      </c>
      <c r="I389" t="n">
        <v>75</v>
      </c>
      <c r="J389">
        <f>H389-F389</f>
        <v/>
      </c>
      <c r="K389">
        <f>ABS(J389)</f>
        <v/>
      </c>
      <c r="L389">
        <f>K389/F389*100</f>
        <v/>
      </c>
    </row>
    <row r="390">
      <c r="A390" t="inlineStr">
        <is>
          <t>subject05</t>
        </is>
      </c>
      <c r="B390" t="n">
        <v>63</v>
      </c>
      <c r="C390" t="n">
        <v>310</v>
      </c>
      <c r="D390" t="n">
        <v>330</v>
      </c>
      <c r="E390" t="n">
        <v>1.227</v>
      </c>
      <c r="F390" t="n">
        <v>73.62</v>
      </c>
      <c r="G390">
        <f>H390/60</f>
        <v/>
      </c>
      <c r="H390">
        <f>MEDIAN(I388,I389,I390,I391,I392)</f>
        <v/>
      </c>
      <c r="I390" t="n">
        <v>93</v>
      </c>
      <c r="J390">
        <f>H390-F390</f>
        <v/>
      </c>
      <c r="K390">
        <f>ABS(J390)</f>
        <v/>
      </c>
      <c r="L390">
        <f>K390/F390*100</f>
        <v/>
      </c>
    </row>
    <row r="391">
      <c r="A391" t="inlineStr">
        <is>
          <t>subject05</t>
        </is>
      </c>
      <c r="B391" t="n">
        <v>64</v>
      </c>
      <c r="C391" t="n">
        <v>315</v>
      </c>
      <c r="D391" t="n">
        <v>335</v>
      </c>
      <c r="E391" t="n">
        <v>1.2125</v>
      </c>
      <c r="F391" t="n">
        <v>72.75</v>
      </c>
      <c r="G391">
        <f>H391/60</f>
        <v/>
      </c>
      <c r="H391">
        <f>MEDIAN(I389,I390,I391,I392,I393)</f>
        <v/>
      </c>
      <c r="I391" t="n">
        <v>96</v>
      </c>
      <c r="J391">
        <f>H391-F391</f>
        <v/>
      </c>
      <c r="K391">
        <f>ABS(J391)</f>
        <v/>
      </c>
      <c r="L391">
        <f>K391/F391*100</f>
        <v/>
      </c>
    </row>
    <row r="392">
      <c r="A392" t="inlineStr">
        <is>
          <t>subject05</t>
        </is>
      </c>
      <c r="B392" t="n">
        <v>65</v>
      </c>
      <c r="C392" t="n">
        <v>320</v>
      </c>
      <c r="D392" t="n">
        <v>340</v>
      </c>
      <c r="E392" t="n">
        <v>1.1782</v>
      </c>
      <c r="F392" t="n">
        <v>70.69</v>
      </c>
      <c r="G392">
        <f>H392/60</f>
        <v/>
      </c>
      <c r="H392">
        <f>MEDIAN(I390,I391,I392,I393,I394)</f>
        <v/>
      </c>
      <c r="I392" t="n">
        <v>72</v>
      </c>
      <c r="J392">
        <f>H392-F392</f>
        <v/>
      </c>
      <c r="K392">
        <f>ABS(J392)</f>
        <v/>
      </c>
      <c r="L392">
        <f>K392/F392*100</f>
        <v/>
      </c>
    </row>
    <row r="393">
      <c r="A393" t="inlineStr">
        <is>
          <t>subject05</t>
        </is>
      </c>
      <c r="B393" t="n">
        <v>66</v>
      </c>
      <c r="C393" t="n">
        <v>325</v>
      </c>
      <c r="D393" t="n">
        <v>345</v>
      </c>
      <c r="E393" t="n">
        <v>1.1869</v>
      </c>
      <c r="F393" t="n">
        <v>71.20999999999999</v>
      </c>
      <c r="G393">
        <f>H393/60</f>
        <v/>
      </c>
      <c r="H393">
        <f>MEDIAN(I391,I392,I393,I394,I395)</f>
        <v/>
      </c>
      <c r="I393" t="n">
        <v>72</v>
      </c>
      <c r="J393">
        <f>H393-F393</f>
        <v/>
      </c>
      <c r="K393">
        <f>ABS(J393)</f>
        <v/>
      </c>
      <c r="L393">
        <f>K393/F393*100</f>
        <v/>
      </c>
    </row>
    <row r="394">
      <c r="A394" t="inlineStr">
        <is>
          <t>subject05</t>
        </is>
      </c>
      <c r="B394" t="n">
        <v>67</v>
      </c>
      <c r="C394" t="n">
        <v>330</v>
      </c>
      <c r="D394" t="n">
        <v>350</v>
      </c>
      <c r="E394" t="n">
        <v>1.1633</v>
      </c>
      <c r="F394" t="n">
        <v>69.8</v>
      </c>
      <c r="G394">
        <f>H394/60</f>
        <v/>
      </c>
      <c r="H394">
        <f>MEDIAN(I392,I393,I394,I395,I396)</f>
        <v/>
      </c>
      <c r="I394" t="n">
        <v>93</v>
      </c>
      <c r="J394">
        <f>H394-F394</f>
        <v/>
      </c>
      <c r="K394">
        <f>ABS(J394)</f>
        <v/>
      </c>
      <c r="L394">
        <f>K394/F394*100</f>
        <v/>
      </c>
    </row>
    <row r="395">
      <c r="A395" t="inlineStr">
        <is>
          <t>subject05</t>
        </is>
      </c>
      <c r="B395" t="n">
        <v>68</v>
      </c>
      <c r="C395" t="n">
        <v>335</v>
      </c>
      <c r="D395" t="n">
        <v>355</v>
      </c>
      <c r="E395" t="n">
        <v>1.1546</v>
      </c>
      <c r="F395" t="n">
        <v>69.27</v>
      </c>
      <c r="G395">
        <f>H395/60</f>
        <v/>
      </c>
      <c r="H395">
        <f>MEDIAN(I393,I394,I395,I396,I397)</f>
        <v/>
      </c>
      <c r="I395" t="n">
        <v>54</v>
      </c>
      <c r="J395">
        <f>H395-F395</f>
        <v/>
      </c>
      <c r="K395">
        <f>ABS(J395)</f>
        <v/>
      </c>
      <c r="L395">
        <f>K395/F395*100</f>
        <v/>
      </c>
    </row>
    <row r="396">
      <c r="A396" t="inlineStr">
        <is>
          <t>subject05</t>
        </is>
      </c>
      <c r="B396" t="n">
        <v>69</v>
      </c>
      <c r="C396" t="n">
        <v>340</v>
      </c>
      <c r="D396" t="n">
        <v>360</v>
      </c>
      <c r="E396" t="n">
        <v>1.1765</v>
      </c>
      <c r="F396" t="n">
        <v>70.59</v>
      </c>
      <c r="G396">
        <f>H396/60</f>
        <v/>
      </c>
      <c r="H396">
        <f>MEDIAN(I394,I395,I396,I397,I398)</f>
        <v/>
      </c>
      <c r="I396" t="n">
        <v>66</v>
      </c>
      <c r="J396">
        <f>H396-F396</f>
        <v/>
      </c>
      <c r="K396">
        <f>ABS(J396)</f>
        <v/>
      </c>
      <c r="L396">
        <f>K396/F396*100</f>
        <v/>
      </c>
    </row>
    <row r="397">
      <c r="A397" t="inlineStr">
        <is>
          <t>subject05</t>
        </is>
      </c>
      <c r="B397" t="n">
        <v>70</v>
      </c>
      <c r="C397" t="n">
        <v>345</v>
      </c>
      <c r="D397" t="n">
        <v>365</v>
      </c>
      <c r="E397" t="n">
        <v>1.1691</v>
      </c>
      <c r="F397" t="n">
        <v>70.15000000000001</v>
      </c>
      <c r="G397">
        <f>H397/60</f>
        <v/>
      </c>
      <c r="H397">
        <f>MEDIAN(I395,I396,I397,I398,I399)</f>
        <v/>
      </c>
      <c r="I397" t="n">
        <v>63</v>
      </c>
      <c r="J397">
        <f>H397-F397</f>
        <v/>
      </c>
      <c r="K397">
        <f>ABS(J397)</f>
        <v/>
      </c>
      <c r="L397">
        <f>K397/F397*100</f>
        <v/>
      </c>
    </row>
    <row r="398">
      <c r="A398" t="inlineStr">
        <is>
          <t>subject05</t>
        </is>
      </c>
      <c r="B398" t="n">
        <v>71</v>
      </c>
      <c r="C398" t="n">
        <v>350</v>
      </c>
      <c r="D398" t="n">
        <v>370</v>
      </c>
      <c r="E398" t="n">
        <v>1.1778</v>
      </c>
      <c r="F398" t="n">
        <v>70.67</v>
      </c>
      <c r="G398">
        <f>H398/60</f>
        <v/>
      </c>
      <c r="H398">
        <f>MEDIAN(I396,I397,I398,I399,I400)</f>
        <v/>
      </c>
      <c r="I398" t="n">
        <v>57</v>
      </c>
      <c r="J398">
        <f>H398-F398</f>
        <v/>
      </c>
      <c r="K398">
        <f>ABS(J398)</f>
        <v/>
      </c>
      <c r="L398">
        <f>K398/F398*100</f>
        <v/>
      </c>
    </row>
    <row r="399">
      <c r="A399" t="inlineStr">
        <is>
          <t>subject05</t>
        </is>
      </c>
      <c r="B399" t="n">
        <v>72</v>
      </c>
      <c r="C399" t="n">
        <v>355</v>
      </c>
      <c r="D399" t="n">
        <v>375</v>
      </c>
      <c r="E399" t="n">
        <v>1.1728</v>
      </c>
      <c r="F399" t="n">
        <v>70.37</v>
      </c>
      <c r="G399">
        <f>H399/60</f>
        <v/>
      </c>
      <c r="H399">
        <f>MEDIAN(I397,I398,I399,I400,I401)</f>
        <v/>
      </c>
      <c r="I399" t="n">
        <v>57</v>
      </c>
      <c r="J399">
        <f>H399-F399</f>
        <v/>
      </c>
      <c r="K399">
        <f>ABS(J399)</f>
        <v/>
      </c>
      <c r="L399">
        <f>K399/F399*100</f>
        <v/>
      </c>
    </row>
    <row r="400">
      <c r="A400" t="inlineStr">
        <is>
          <t>subject05</t>
        </is>
      </c>
      <c r="B400" t="n">
        <v>73</v>
      </c>
      <c r="C400" t="n">
        <v>360</v>
      </c>
      <c r="D400" t="n">
        <v>380</v>
      </c>
      <c r="E400" t="n">
        <v>1.137</v>
      </c>
      <c r="F400" t="n">
        <v>68.22</v>
      </c>
      <c r="G400">
        <f>H400/60</f>
        <v/>
      </c>
      <c r="H400">
        <f>MEDIAN(I398,I399,I400,I401,I402)</f>
        <v/>
      </c>
      <c r="I400" t="n">
        <v>87</v>
      </c>
      <c r="J400">
        <f>H400-F400</f>
        <v/>
      </c>
      <c r="K400">
        <f>ABS(J400)</f>
        <v/>
      </c>
      <c r="L400">
        <f>K400/F400*100</f>
        <v/>
      </c>
    </row>
    <row r="401">
      <c r="A401" t="inlineStr">
        <is>
          <t>subject05</t>
        </is>
      </c>
      <c r="B401" t="n">
        <v>74</v>
      </c>
      <c r="C401" t="n">
        <v>365</v>
      </c>
      <c r="D401" t="n">
        <v>385</v>
      </c>
      <c r="E401" t="n">
        <v>1.1253</v>
      </c>
      <c r="F401" t="n">
        <v>67.52</v>
      </c>
      <c r="G401">
        <f>H401/60</f>
        <v/>
      </c>
      <c r="H401">
        <f>MEDIAN(I399,I400,I401,I402,I403)</f>
        <v/>
      </c>
      <c r="I401" t="n">
        <v>84</v>
      </c>
      <c r="J401">
        <f>H401-F401</f>
        <v/>
      </c>
      <c r="K401">
        <f>ABS(J401)</f>
        <v/>
      </c>
      <c r="L401">
        <f>K401/F401*100</f>
        <v/>
      </c>
    </row>
    <row r="402">
      <c r="A402" t="inlineStr">
        <is>
          <t>subject05</t>
        </is>
      </c>
      <c r="B402" t="n">
        <v>75</v>
      </c>
      <c r="C402" t="n">
        <v>370</v>
      </c>
      <c r="D402" t="n">
        <v>390</v>
      </c>
      <c r="E402" t="n">
        <v>1.1165</v>
      </c>
      <c r="F402" t="n">
        <v>66.98999999999999</v>
      </c>
      <c r="G402">
        <f>H402/60</f>
        <v/>
      </c>
      <c r="H402">
        <f>MEDIAN(I400,I401,I402,I403,I404)</f>
        <v/>
      </c>
      <c r="I402" t="n">
        <v>66</v>
      </c>
      <c r="J402">
        <f>H402-F402</f>
        <v/>
      </c>
      <c r="K402">
        <f>ABS(J402)</f>
        <v/>
      </c>
      <c r="L402">
        <f>K402/F402*100</f>
        <v/>
      </c>
    </row>
    <row r="403">
      <c r="A403" t="inlineStr">
        <is>
          <t>subject05</t>
        </is>
      </c>
      <c r="B403" t="n">
        <v>76</v>
      </c>
      <c r="C403" t="n">
        <v>375</v>
      </c>
      <c r="D403" t="n">
        <v>395</v>
      </c>
      <c r="E403" t="n">
        <v>1.1037</v>
      </c>
      <c r="F403" t="n">
        <v>66.22</v>
      </c>
      <c r="G403">
        <f>H403/60</f>
        <v/>
      </c>
      <c r="H403">
        <f>MEDIAN(I401,I402,I403,I404,I405)</f>
        <v/>
      </c>
      <c r="I403" t="n">
        <v>93</v>
      </c>
      <c r="J403">
        <f>H403-F403</f>
        <v/>
      </c>
      <c r="K403">
        <f>ABS(J403)</f>
        <v/>
      </c>
      <c r="L403">
        <f>K403/F403*100</f>
        <v/>
      </c>
    </row>
    <row r="404">
      <c r="A404" t="inlineStr">
        <is>
          <t>subject05</t>
        </is>
      </c>
      <c r="B404" t="n">
        <v>77</v>
      </c>
      <c r="C404" t="n">
        <v>380</v>
      </c>
      <c r="D404" t="n">
        <v>400</v>
      </c>
      <c r="E404" t="n">
        <v>1.099</v>
      </c>
      <c r="F404" t="n">
        <v>65.94</v>
      </c>
      <c r="G404">
        <f>H404/60</f>
        <v/>
      </c>
      <c r="H404">
        <f>MEDIAN(I402,I403,I404,I405,I406)</f>
        <v/>
      </c>
      <c r="I404" t="n">
        <v>72</v>
      </c>
      <c r="J404">
        <f>H404-F404</f>
        <v/>
      </c>
      <c r="K404">
        <f>ABS(J404)</f>
        <v/>
      </c>
      <c r="L404">
        <f>K404/F404*100</f>
        <v/>
      </c>
    </row>
    <row r="405">
      <c r="A405" t="inlineStr">
        <is>
          <t>subject05</t>
        </is>
      </c>
      <c r="B405" t="n">
        <v>78</v>
      </c>
      <c r="C405" t="n">
        <v>385</v>
      </c>
      <c r="D405" t="n">
        <v>405</v>
      </c>
      <c r="E405" t="n">
        <v>1.0966</v>
      </c>
      <c r="F405" t="n">
        <v>65.8</v>
      </c>
      <c r="G405">
        <f>H405/60</f>
        <v/>
      </c>
      <c r="H405">
        <f>MEDIAN(I403,I404,I405,I406,I407)</f>
        <v/>
      </c>
      <c r="I405" t="n">
        <v>72</v>
      </c>
      <c r="J405">
        <f>H405-F405</f>
        <v/>
      </c>
      <c r="K405">
        <f>ABS(J405)</f>
        <v/>
      </c>
      <c r="L405">
        <f>K405/F405*100</f>
        <v/>
      </c>
    </row>
    <row r="406">
      <c r="A406" t="inlineStr">
        <is>
          <t>subject05</t>
        </is>
      </c>
      <c r="B406" t="n">
        <v>79</v>
      </c>
      <c r="C406" t="n">
        <v>390</v>
      </c>
      <c r="D406" t="n">
        <v>410</v>
      </c>
      <c r="E406" t="n">
        <v>1.1003</v>
      </c>
      <c r="F406" t="n">
        <v>66.02</v>
      </c>
      <c r="G406">
        <f>H406/60</f>
        <v/>
      </c>
      <c r="H406">
        <f>MEDIAN(I404,I405,I406,I407,I408)</f>
        <v/>
      </c>
      <c r="I406" t="n">
        <v>72</v>
      </c>
      <c r="J406">
        <f>H406-F406</f>
        <v/>
      </c>
      <c r="K406">
        <f>ABS(J406)</f>
        <v/>
      </c>
      <c r="L406">
        <f>K406/F406*100</f>
        <v/>
      </c>
    </row>
    <row r="407">
      <c r="A407" t="inlineStr">
        <is>
          <t>subject05</t>
        </is>
      </c>
      <c r="B407" t="n">
        <v>80</v>
      </c>
      <c r="C407" t="n">
        <v>395</v>
      </c>
      <c r="D407" t="n">
        <v>415</v>
      </c>
      <c r="E407" t="n">
        <v>1.1015</v>
      </c>
      <c r="F407" t="n">
        <v>66.09</v>
      </c>
      <c r="G407">
        <f>H407/60</f>
        <v/>
      </c>
      <c r="H407">
        <f>MEDIAN(I405,I406,I407,I408,I409)</f>
        <v/>
      </c>
      <c r="I407" t="n">
        <v>69</v>
      </c>
      <c r="J407">
        <f>H407-F407</f>
        <v/>
      </c>
      <c r="K407">
        <f>ABS(J407)</f>
        <v/>
      </c>
      <c r="L407">
        <f>K407/F407*100</f>
        <v/>
      </c>
    </row>
    <row r="408">
      <c r="A408" t="inlineStr">
        <is>
          <t>subject05</t>
        </is>
      </c>
      <c r="B408" t="n">
        <v>81</v>
      </c>
      <c r="C408" t="n">
        <v>400</v>
      </c>
      <c r="D408" t="n">
        <v>420</v>
      </c>
      <c r="E408" t="n">
        <v>1.1134</v>
      </c>
      <c r="F408" t="n">
        <v>66.8</v>
      </c>
      <c r="G408">
        <f>H408/60</f>
        <v/>
      </c>
      <c r="H408">
        <f>MEDIAN(I406,I407,I408,I409,0)</f>
        <v/>
      </c>
      <c r="I408" t="n">
        <v>69</v>
      </c>
      <c r="J408">
        <f>H408-F408</f>
        <v/>
      </c>
      <c r="K408">
        <f>ABS(J408)</f>
        <v/>
      </c>
      <c r="L408">
        <f>K408/F408*100</f>
        <v/>
      </c>
    </row>
    <row r="409">
      <c r="A409" t="inlineStr">
        <is>
          <t>subject05</t>
        </is>
      </c>
      <c r="B409" t="n">
        <v>82</v>
      </c>
      <c r="C409" t="n">
        <v>405</v>
      </c>
      <c r="D409" t="n">
        <v>425</v>
      </c>
      <c r="E409" t="n">
        <v>1.1086</v>
      </c>
      <c r="F409" t="n">
        <v>66.51000000000001</v>
      </c>
      <c r="G409">
        <f>H409/60</f>
        <v/>
      </c>
      <c r="H409">
        <f>MEDIAN(I407,I408,I409,0,0)</f>
        <v/>
      </c>
      <c r="I409" t="n">
        <v>87</v>
      </c>
      <c r="J409">
        <f>H409-F409</f>
        <v/>
      </c>
      <c r="K409">
        <f>ABS(J409)</f>
        <v/>
      </c>
      <c r="L409">
        <f>K409/F409*100</f>
        <v/>
      </c>
    </row>
    <row r="410">
      <c r="A410" t="inlineStr">
        <is>
          <t>subject06</t>
        </is>
      </c>
      <c r="B410" t="n">
        <v>1</v>
      </c>
      <c r="C410" t="n">
        <v>0</v>
      </c>
      <c r="D410" t="n">
        <v>20</v>
      </c>
      <c r="E410" t="n">
        <v>1.2234</v>
      </c>
      <c r="F410" t="n">
        <v>73.40000000000001</v>
      </c>
      <c r="G410">
        <f>H410/60</f>
        <v/>
      </c>
      <c r="H410">
        <f>MEDIAN(0,0,I410,I411,I412)</f>
        <v/>
      </c>
      <c r="I410" t="n">
        <v>102</v>
      </c>
      <c r="J410">
        <f>H410-F410</f>
        <v/>
      </c>
      <c r="K410">
        <f>ABS(J410)</f>
        <v/>
      </c>
      <c r="L410">
        <f>K410/F410*100</f>
        <v/>
      </c>
    </row>
    <row r="411">
      <c r="A411" t="inlineStr">
        <is>
          <t>subject06</t>
        </is>
      </c>
      <c r="B411" t="n">
        <v>2</v>
      </c>
      <c r="C411" t="n">
        <v>5</v>
      </c>
      <c r="D411" t="n">
        <v>25</v>
      </c>
      <c r="E411" t="n">
        <v>1.2387</v>
      </c>
      <c r="F411" t="n">
        <v>74.31999999999999</v>
      </c>
      <c r="G411">
        <f>H411/60</f>
        <v/>
      </c>
      <c r="H411">
        <f>MEDIAN(0,I410,I411,I412,I413)</f>
        <v/>
      </c>
      <c r="I411" t="n">
        <v>57</v>
      </c>
      <c r="J411">
        <f>H411-F411</f>
        <v/>
      </c>
      <c r="K411">
        <f>ABS(J411)</f>
        <v/>
      </c>
      <c r="L411">
        <f>K411/F411*100</f>
        <v/>
      </c>
    </row>
    <row r="412">
      <c r="A412" t="inlineStr">
        <is>
          <t>subject06</t>
        </is>
      </c>
      <c r="B412" t="n">
        <v>3</v>
      </c>
      <c r="C412" t="n">
        <v>10</v>
      </c>
      <c r="D412" t="n">
        <v>30</v>
      </c>
      <c r="E412" t="n">
        <v>1.244</v>
      </c>
      <c r="F412" t="n">
        <v>74.64</v>
      </c>
      <c r="G412">
        <f>H412/60</f>
        <v/>
      </c>
      <c r="H412">
        <f>MEDIAN(I410,I411,I412,I413,I414)</f>
        <v/>
      </c>
      <c r="I412" t="n">
        <v>60</v>
      </c>
      <c r="J412">
        <f>H412-F412</f>
        <v/>
      </c>
      <c r="K412">
        <f>ABS(J412)</f>
        <v/>
      </c>
      <c r="L412">
        <f>K412/F412*100</f>
        <v/>
      </c>
    </row>
    <row r="413">
      <c r="A413" t="inlineStr">
        <is>
          <t>subject06</t>
        </is>
      </c>
      <c r="B413" t="n">
        <v>4</v>
      </c>
      <c r="C413" t="n">
        <v>15</v>
      </c>
      <c r="D413" t="n">
        <v>35</v>
      </c>
      <c r="E413" t="n">
        <v>1.2435</v>
      </c>
      <c r="F413" t="n">
        <v>74.61</v>
      </c>
      <c r="G413">
        <f>H413/60</f>
        <v/>
      </c>
      <c r="H413">
        <f>MEDIAN(I411,I412,I413,I414,I415)</f>
        <v/>
      </c>
      <c r="I413" t="n">
        <v>54</v>
      </c>
      <c r="J413">
        <f>H413-F413</f>
        <v/>
      </c>
      <c r="K413">
        <f>ABS(J413)</f>
        <v/>
      </c>
      <c r="L413">
        <f>K413/F413*100</f>
        <v/>
      </c>
    </row>
    <row r="414">
      <c r="A414" t="inlineStr">
        <is>
          <t>subject06</t>
        </is>
      </c>
      <c r="B414" t="n">
        <v>5</v>
      </c>
      <c r="C414" t="n">
        <v>20</v>
      </c>
      <c r="D414" t="n">
        <v>40</v>
      </c>
      <c r="E414" t="n">
        <v>1.2214</v>
      </c>
      <c r="F414" t="n">
        <v>73.28</v>
      </c>
      <c r="G414">
        <f>H414/60</f>
        <v/>
      </c>
      <c r="H414">
        <f>MEDIAN(I412,I413,I414,I415,I416)</f>
        <v/>
      </c>
      <c r="I414" t="n">
        <v>54</v>
      </c>
      <c r="J414">
        <f>H414-F414</f>
        <v/>
      </c>
      <c r="K414">
        <f>ABS(J414)</f>
        <v/>
      </c>
      <c r="L414">
        <f>K414/F414*100</f>
        <v/>
      </c>
    </row>
    <row r="415">
      <c r="A415" t="inlineStr">
        <is>
          <t>subject06</t>
        </is>
      </c>
      <c r="B415" t="n">
        <v>6</v>
      </c>
      <c r="C415" t="n">
        <v>25</v>
      </c>
      <c r="D415" t="n">
        <v>45</v>
      </c>
      <c r="E415" t="n">
        <v>1.215</v>
      </c>
      <c r="F415" t="n">
        <v>72.90000000000001</v>
      </c>
      <c r="G415">
        <f>H415/60</f>
        <v/>
      </c>
      <c r="H415">
        <f>MEDIAN(I413,I414,I415,I416,I417)</f>
        <v/>
      </c>
      <c r="I415" t="n">
        <v>54</v>
      </c>
      <c r="J415">
        <f>H415-F415</f>
        <v/>
      </c>
      <c r="K415">
        <f>ABS(J415)</f>
        <v/>
      </c>
      <c r="L415">
        <f>K415/F415*100</f>
        <v/>
      </c>
    </row>
    <row r="416">
      <c r="A416" t="inlineStr">
        <is>
          <t>subject06</t>
        </is>
      </c>
      <c r="B416" t="n">
        <v>7</v>
      </c>
      <c r="C416" t="n">
        <v>30</v>
      </c>
      <c r="D416" t="n">
        <v>50</v>
      </c>
      <c r="E416" t="n">
        <v>1.2012</v>
      </c>
      <c r="F416" t="n">
        <v>72.06999999999999</v>
      </c>
      <c r="G416">
        <f>H416/60</f>
        <v/>
      </c>
      <c r="H416">
        <f>MEDIAN(I414,I415,I416,I417,I418)</f>
        <v/>
      </c>
      <c r="I416" t="n">
        <v>66</v>
      </c>
      <c r="J416">
        <f>H416-F416</f>
        <v/>
      </c>
      <c r="K416">
        <f>ABS(J416)</f>
        <v/>
      </c>
      <c r="L416">
        <f>K416/F416*100</f>
        <v/>
      </c>
    </row>
    <row r="417">
      <c r="A417" t="inlineStr">
        <is>
          <t>subject06</t>
        </is>
      </c>
      <c r="B417" t="n">
        <v>8</v>
      </c>
      <c r="C417" t="n">
        <v>35</v>
      </c>
      <c r="D417" t="n">
        <v>55</v>
      </c>
      <c r="E417" t="n">
        <v>1.1941</v>
      </c>
      <c r="F417" t="n">
        <v>71.64</v>
      </c>
      <c r="G417">
        <f>H417/60</f>
        <v/>
      </c>
      <c r="H417">
        <f>MEDIAN(I415,I416,I417,I418,I419)</f>
        <v/>
      </c>
      <c r="I417" t="n">
        <v>63</v>
      </c>
      <c r="J417">
        <f>H417-F417</f>
        <v/>
      </c>
      <c r="K417">
        <f>ABS(J417)</f>
        <v/>
      </c>
      <c r="L417">
        <f>K417/F417*100</f>
        <v/>
      </c>
    </row>
    <row r="418">
      <c r="A418" t="inlineStr">
        <is>
          <t>subject06</t>
        </is>
      </c>
      <c r="B418" t="n">
        <v>9</v>
      </c>
      <c r="C418" t="n">
        <v>40</v>
      </c>
      <c r="D418" t="n">
        <v>60</v>
      </c>
      <c r="E418" t="n">
        <v>1.1933</v>
      </c>
      <c r="F418" t="n">
        <v>71.59999999999999</v>
      </c>
      <c r="G418">
        <f>H418/60</f>
        <v/>
      </c>
      <c r="H418">
        <f>MEDIAN(I416,I417,I418,I419,I420)</f>
        <v/>
      </c>
      <c r="I418" t="n">
        <v>63</v>
      </c>
      <c r="J418">
        <f>H418-F418</f>
        <v/>
      </c>
      <c r="K418">
        <f>ABS(J418)</f>
        <v/>
      </c>
      <c r="L418">
        <f>K418/F418*100</f>
        <v/>
      </c>
    </row>
    <row r="419">
      <c r="A419" t="inlineStr">
        <is>
          <t>subject06</t>
        </is>
      </c>
      <c r="B419" t="n">
        <v>10</v>
      </c>
      <c r="C419" t="n">
        <v>45</v>
      </c>
      <c r="D419" t="n">
        <v>65</v>
      </c>
      <c r="E419" t="n">
        <v>1.179</v>
      </c>
      <c r="F419" t="n">
        <v>70.73999999999999</v>
      </c>
      <c r="G419">
        <f>H419/60</f>
        <v/>
      </c>
      <c r="H419">
        <f>MEDIAN(I417,I418,I419,I420,I421)</f>
        <v/>
      </c>
      <c r="I419" t="n">
        <v>78</v>
      </c>
      <c r="J419">
        <f>H419-F419</f>
        <v/>
      </c>
      <c r="K419">
        <f>ABS(J419)</f>
        <v/>
      </c>
      <c r="L419">
        <f>K419/F419*100</f>
        <v/>
      </c>
    </row>
    <row r="420">
      <c r="A420" t="inlineStr">
        <is>
          <t>subject06</t>
        </is>
      </c>
      <c r="B420" t="n">
        <v>11</v>
      </c>
      <c r="C420" t="n">
        <v>50</v>
      </c>
      <c r="D420" t="n">
        <v>70</v>
      </c>
      <c r="E420" t="n">
        <v>1.1835</v>
      </c>
      <c r="F420" t="n">
        <v>71.01000000000001</v>
      </c>
      <c r="G420">
        <f>H420/60</f>
        <v/>
      </c>
      <c r="H420">
        <f>MEDIAN(I418,I419,I420,I421,I422)</f>
        <v/>
      </c>
      <c r="I420" t="n">
        <v>63</v>
      </c>
      <c r="J420">
        <f>H420-F420</f>
        <v/>
      </c>
      <c r="K420">
        <f>ABS(J420)</f>
        <v/>
      </c>
      <c r="L420">
        <f>K420/F420*100</f>
        <v/>
      </c>
    </row>
    <row r="421">
      <c r="A421" t="inlineStr">
        <is>
          <t>subject06</t>
        </is>
      </c>
      <c r="B421" t="n">
        <v>12</v>
      </c>
      <c r="C421" t="n">
        <v>55</v>
      </c>
      <c r="D421" t="n">
        <v>75</v>
      </c>
      <c r="E421" t="n">
        <v>1.1817</v>
      </c>
      <c r="F421" t="n">
        <v>70.90000000000001</v>
      </c>
      <c r="G421">
        <f>H421/60</f>
        <v/>
      </c>
      <c r="H421">
        <f>MEDIAN(I419,I420,I421,I422,I423)</f>
        <v/>
      </c>
      <c r="I421" t="n">
        <v>78</v>
      </c>
      <c r="J421">
        <f>H421-F421</f>
        <v/>
      </c>
      <c r="K421">
        <f>ABS(J421)</f>
        <v/>
      </c>
      <c r="L421">
        <f>K421/F421*100</f>
        <v/>
      </c>
    </row>
    <row r="422">
      <c r="A422" t="inlineStr">
        <is>
          <t>subject06</t>
        </is>
      </c>
      <c r="B422" t="n">
        <v>13</v>
      </c>
      <c r="C422" t="n">
        <v>60</v>
      </c>
      <c r="D422" t="n">
        <v>80</v>
      </c>
      <c r="E422" t="n">
        <v>1.1854</v>
      </c>
      <c r="F422" t="n">
        <v>71.12</v>
      </c>
      <c r="G422">
        <f>H422/60</f>
        <v/>
      </c>
      <c r="H422">
        <f>MEDIAN(I420,I421,I422,I423,I424)</f>
        <v/>
      </c>
      <c r="I422" t="n">
        <v>87</v>
      </c>
      <c r="J422">
        <f>H422-F422</f>
        <v/>
      </c>
      <c r="K422">
        <f>ABS(J422)</f>
        <v/>
      </c>
      <c r="L422">
        <f>K422/F422*100</f>
        <v/>
      </c>
    </row>
    <row r="423">
      <c r="A423" t="inlineStr">
        <is>
          <t>subject06</t>
        </is>
      </c>
      <c r="B423" t="n">
        <v>14</v>
      </c>
      <c r="C423" t="n">
        <v>65</v>
      </c>
      <c r="D423" t="n">
        <v>85</v>
      </c>
      <c r="E423" t="n">
        <v>1.1929</v>
      </c>
      <c r="F423" t="n">
        <v>71.56999999999999</v>
      </c>
      <c r="G423">
        <f>H423/60</f>
        <v/>
      </c>
      <c r="H423">
        <f>MEDIAN(I421,I422,I423,I424,I425)</f>
        <v/>
      </c>
      <c r="I423" t="n">
        <v>75</v>
      </c>
      <c r="J423">
        <f>H423-F423</f>
        <v/>
      </c>
      <c r="K423">
        <f>ABS(J423)</f>
        <v/>
      </c>
      <c r="L423">
        <f>K423/F423*100</f>
        <v/>
      </c>
    </row>
    <row r="424">
      <c r="A424" t="inlineStr">
        <is>
          <t>subject06</t>
        </is>
      </c>
      <c r="B424" t="n">
        <v>15</v>
      </c>
      <c r="C424" t="n">
        <v>70</v>
      </c>
      <c r="D424" t="n">
        <v>90</v>
      </c>
      <c r="E424" t="n">
        <v>1.1876</v>
      </c>
      <c r="F424" t="n">
        <v>71.26000000000001</v>
      </c>
      <c r="G424">
        <f>H424/60</f>
        <v/>
      </c>
      <c r="H424">
        <f>MEDIAN(I422,I423,I424,I425,I426)</f>
        <v/>
      </c>
      <c r="I424" t="n">
        <v>90</v>
      </c>
      <c r="J424">
        <f>H424-F424</f>
        <v/>
      </c>
      <c r="K424">
        <f>ABS(J424)</f>
        <v/>
      </c>
      <c r="L424">
        <f>K424/F424*100</f>
        <v/>
      </c>
    </row>
    <row r="425">
      <c r="A425" t="inlineStr">
        <is>
          <t>subject06</t>
        </is>
      </c>
      <c r="B425" t="n">
        <v>16</v>
      </c>
      <c r="C425" t="n">
        <v>75</v>
      </c>
      <c r="D425" t="n">
        <v>95</v>
      </c>
      <c r="E425" t="n">
        <v>1.1824</v>
      </c>
      <c r="F425" t="n">
        <v>70.95</v>
      </c>
      <c r="G425">
        <f>H425/60</f>
        <v/>
      </c>
      <c r="H425">
        <f>MEDIAN(I423,I424,I425,I426,I427)</f>
        <v/>
      </c>
      <c r="I425" t="n">
        <v>57</v>
      </c>
      <c r="J425">
        <f>H425-F425</f>
        <v/>
      </c>
      <c r="K425">
        <f>ABS(J425)</f>
        <v/>
      </c>
      <c r="L425">
        <f>K425/F425*100</f>
        <v/>
      </c>
    </row>
    <row r="426">
      <c r="A426" t="inlineStr">
        <is>
          <t>subject06</t>
        </is>
      </c>
      <c r="B426" t="n">
        <v>17</v>
      </c>
      <c r="C426" t="n">
        <v>80</v>
      </c>
      <c r="D426" t="n">
        <v>100</v>
      </c>
      <c r="E426" t="n">
        <v>1.2002</v>
      </c>
      <c r="F426" t="n">
        <v>72.01000000000001</v>
      </c>
      <c r="G426">
        <f>H426/60</f>
        <v/>
      </c>
      <c r="H426">
        <f>MEDIAN(I424,I425,I426,I427,I428)</f>
        <v/>
      </c>
      <c r="I426" t="n">
        <v>60</v>
      </c>
      <c r="J426">
        <f>H426-F426</f>
        <v/>
      </c>
      <c r="K426">
        <f>ABS(J426)</f>
        <v/>
      </c>
      <c r="L426">
        <f>K426/F426*100</f>
        <v/>
      </c>
    </row>
    <row r="427">
      <c r="A427" t="inlineStr">
        <is>
          <t>subject06</t>
        </is>
      </c>
      <c r="B427" t="n">
        <v>18</v>
      </c>
      <c r="C427" t="n">
        <v>85</v>
      </c>
      <c r="D427" t="n">
        <v>105</v>
      </c>
      <c r="E427" t="n">
        <v>1.2015</v>
      </c>
      <c r="F427" t="n">
        <v>72.09</v>
      </c>
      <c r="G427">
        <f>H427/60</f>
        <v/>
      </c>
      <c r="H427">
        <f>MEDIAN(I425,I426,I427,I428,I429)</f>
        <v/>
      </c>
      <c r="I427" t="n">
        <v>105</v>
      </c>
      <c r="J427">
        <f>H427-F427</f>
        <v/>
      </c>
      <c r="K427">
        <f>ABS(J427)</f>
        <v/>
      </c>
      <c r="L427">
        <f>K427/F427*100</f>
        <v/>
      </c>
    </row>
    <row r="428">
      <c r="A428" t="inlineStr">
        <is>
          <t>subject06</t>
        </is>
      </c>
      <c r="B428" t="n">
        <v>19</v>
      </c>
      <c r="C428" t="n">
        <v>90</v>
      </c>
      <c r="D428" t="n">
        <v>110</v>
      </c>
      <c r="E428" t="n">
        <v>1.2085</v>
      </c>
      <c r="F428" t="n">
        <v>72.51000000000001</v>
      </c>
      <c r="G428">
        <f>H428/60</f>
        <v/>
      </c>
      <c r="H428">
        <f>MEDIAN(I426,I427,I428,I429,I430)</f>
        <v/>
      </c>
      <c r="I428" t="n">
        <v>63</v>
      </c>
      <c r="J428">
        <f>H428-F428</f>
        <v/>
      </c>
      <c r="K428">
        <f>ABS(J428)</f>
        <v/>
      </c>
      <c r="L428">
        <f>K428/F428*100</f>
        <v/>
      </c>
    </row>
    <row r="429">
      <c r="A429" t="inlineStr">
        <is>
          <t>subject06</t>
        </is>
      </c>
      <c r="B429" t="n">
        <v>20</v>
      </c>
      <c r="C429" t="n">
        <v>95</v>
      </c>
      <c r="D429" t="n">
        <v>115</v>
      </c>
      <c r="E429" t="n">
        <v>1.2365</v>
      </c>
      <c r="F429" t="n">
        <v>74.19</v>
      </c>
      <c r="G429">
        <f>H429/60</f>
        <v/>
      </c>
      <c r="H429">
        <f>MEDIAN(I427,I428,I429,I430,I431)</f>
        <v/>
      </c>
      <c r="I429" t="n">
        <v>78</v>
      </c>
      <c r="J429">
        <f>H429-F429</f>
        <v/>
      </c>
      <c r="K429">
        <f>ABS(J429)</f>
        <v/>
      </c>
      <c r="L429">
        <f>K429/F429*100</f>
        <v/>
      </c>
    </row>
    <row r="430">
      <c r="A430" t="inlineStr">
        <is>
          <t>subject06</t>
        </is>
      </c>
      <c r="B430" t="n">
        <v>21</v>
      </c>
      <c r="C430" t="n">
        <v>100</v>
      </c>
      <c r="D430" t="n">
        <v>120</v>
      </c>
      <c r="E430" t="n">
        <v>1.2247</v>
      </c>
      <c r="F430" t="n">
        <v>73.48</v>
      </c>
      <c r="G430">
        <f>H430/60</f>
        <v/>
      </c>
      <c r="H430">
        <f>MEDIAN(I428,I429,I430,I431,I432)</f>
        <v/>
      </c>
      <c r="I430" t="n">
        <v>78</v>
      </c>
      <c r="J430">
        <f>H430-F430</f>
        <v/>
      </c>
      <c r="K430">
        <f>ABS(J430)</f>
        <v/>
      </c>
      <c r="L430">
        <f>K430/F430*100</f>
        <v/>
      </c>
    </row>
    <row r="431">
      <c r="A431" t="inlineStr">
        <is>
          <t>subject06</t>
        </is>
      </c>
      <c r="B431" t="n">
        <v>22</v>
      </c>
      <c r="C431" t="n">
        <v>105</v>
      </c>
      <c r="D431" t="n">
        <v>125</v>
      </c>
      <c r="E431" t="n">
        <v>1.2416</v>
      </c>
      <c r="F431" t="n">
        <v>74.48999999999999</v>
      </c>
      <c r="G431">
        <f>H431/60</f>
        <v/>
      </c>
      <c r="H431">
        <f>MEDIAN(I429,I430,I431,I432,I433)</f>
        <v/>
      </c>
      <c r="I431" t="n">
        <v>78</v>
      </c>
      <c r="J431">
        <f>H431-F431</f>
        <v/>
      </c>
      <c r="K431">
        <f>ABS(J431)</f>
        <v/>
      </c>
      <c r="L431">
        <f>K431/F431*100</f>
        <v/>
      </c>
    </row>
    <row r="432">
      <c r="A432" t="inlineStr">
        <is>
          <t>subject06</t>
        </is>
      </c>
      <c r="B432" t="n">
        <v>23</v>
      </c>
      <c r="C432" t="n">
        <v>110</v>
      </c>
      <c r="D432" t="n">
        <v>130</v>
      </c>
      <c r="E432" t="n">
        <v>1.2409</v>
      </c>
      <c r="F432" t="n">
        <v>74.45</v>
      </c>
      <c r="G432">
        <f>H432/60</f>
        <v/>
      </c>
      <c r="H432">
        <f>MEDIAN(I430,I431,I432,I433,I434)</f>
        <v/>
      </c>
      <c r="I432" t="n">
        <v>90</v>
      </c>
      <c r="J432">
        <f>H432-F432</f>
        <v/>
      </c>
      <c r="K432">
        <f>ABS(J432)</f>
        <v/>
      </c>
      <c r="L432">
        <f>K432/F432*100</f>
        <v/>
      </c>
    </row>
    <row r="433">
      <c r="A433" t="inlineStr">
        <is>
          <t>subject06</t>
        </is>
      </c>
      <c r="B433" t="n">
        <v>24</v>
      </c>
      <c r="C433" t="n">
        <v>115</v>
      </c>
      <c r="D433" t="n">
        <v>135</v>
      </c>
      <c r="E433" t="n">
        <v>1.2183</v>
      </c>
      <c r="F433" t="n">
        <v>73.09999999999999</v>
      </c>
      <c r="G433">
        <f>H433/60</f>
        <v/>
      </c>
      <c r="H433">
        <f>MEDIAN(I431,I432,I433,I434,I435)</f>
        <v/>
      </c>
      <c r="I433" t="n">
        <v>102</v>
      </c>
      <c r="J433">
        <f>H433-F433</f>
        <v/>
      </c>
      <c r="K433">
        <f>ABS(J433)</f>
        <v/>
      </c>
      <c r="L433">
        <f>K433/F433*100</f>
        <v/>
      </c>
    </row>
    <row r="434">
      <c r="A434" t="inlineStr">
        <is>
          <t>subject06</t>
        </is>
      </c>
      <c r="B434" t="n">
        <v>25</v>
      </c>
      <c r="C434" t="n">
        <v>120</v>
      </c>
      <c r="D434" t="n">
        <v>140</v>
      </c>
      <c r="E434" t="n">
        <v>1.2109</v>
      </c>
      <c r="F434" t="n">
        <v>72.65000000000001</v>
      </c>
      <c r="G434">
        <f>H434/60</f>
        <v/>
      </c>
      <c r="H434">
        <f>MEDIAN(I432,I433,I434,I435,I436)</f>
        <v/>
      </c>
      <c r="I434" t="n">
        <v>102</v>
      </c>
      <c r="J434">
        <f>H434-F434</f>
        <v/>
      </c>
      <c r="K434">
        <f>ABS(J434)</f>
        <v/>
      </c>
      <c r="L434">
        <f>K434/F434*100</f>
        <v/>
      </c>
    </row>
    <row r="435">
      <c r="A435" t="inlineStr">
        <is>
          <t>subject06</t>
        </is>
      </c>
      <c r="B435" t="n">
        <v>26</v>
      </c>
      <c r="C435" t="n">
        <v>125</v>
      </c>
      <c r="D435" t="n">
        <v>145</v>
      </c>
      <c r="E435" t="n">
        <v>1.2037</v>
      </c>
      <c r="F435" t="n">
        <v>72.22</v>
      </c>
      <c r="G435">
        <f>H435/60</f>
        <v/>
      </c>
      <c r="H435">
        <f>MEDIAN(I433,I434,I435,I436,I437)</f>
        <v/>
      </c>
      <c r="I435" t="n">
        <v>87</v>
      </c>
      <c r="J435">
        <f>H435-F435</f>
        <v/>
      </c>
      <c r="K435">
        <f>ABS(J435)</f>
        <v/>
      </c>
      <c r="L435">
        <f>K435/F435*100</f>
        <v/>
      </c>
    </row>
    <row r="436">
      <c r="A436" t="inlineStr">
        <is>
          <t>subject06</t>
        </is>
      </c>
      <c r="B436" t="n">
        <v>27</v>
      </c>
      <c r="C436" t="n">
        <v>130</v>
      </c>
      <c r="D436" t="n">
        <v>150</v>
      </c>
      <c r="E436" t="n">
        <v>1.2206</v>
      </c>
      <c r="F436" t="n">
        <v>73.23</v>
      </c>
      <c r="G436">
        <f>H436/60</f>
        <v/>
      </c>
      <c r="H436">
        <f>MEDIAN(I434,I435,I436,I437,I438)</f>
        <v/>
      </c>
      <c r="I436" t="n">
        <v>90</v>
      </c>
      <c r="J436">
        <f>H436-F436</f>
        <v/>
      </c>
      <c r="K436">
        <f>ABS(J436)</f>
        <v/>
      </c>
      <c r="L436">
        <f>K436/F436*100</f>
        <v/>
      </c>
    </row>
    <row r="437">
      <c r="A437" t="inlineStr">
        <is>
          <t>subject06</t>
        </is>
      </c>
      <c r="B437" t="n">
        <v>28</v>
      </c>
      <c r="C437" t="n">
        <v>135</v>
      </c>
      <c r="D437" t="n">
        <v>155</v>
      </c>
      <c r="E437" t="n">
        <v>1.2329</v>
      </c>
      <c r="F437" t="n">
        <v>73.98</v>
      </c>
      <c r="G437">
        <f>H437/60</f>
        <v/>
      </c>
      <c r="H437">
        <f>MEDIAN(I435,I436,I437,I438,I439)</f>
        <v/>
      </c>
      <c r="I437" t="n">
        <v>102</v>
      </c>
      <c r="J437">
        <f>H437-F437</f>
        <v/>
      </c>
      <c r="K437">
        <f>ABS(J437)</f>
        <v/>
      </c>
      <c r="L437">
        <f>K437/F437*100</f>
        <v/>
      </c>
    </row>
    <row r="438">
      <c r="A438" t="inlineStr">
        <is>
          <t>subject06</t>
        </is>
      </c>
      <c r="B438" t="n">
        <v>29</v>
      </c>
      <c r="C438" t="n">
        <v>140</v>
      </c>
      <c r="D438" t="n">
        <v>160</v>
      </c>
      <c r="E438" t="n">
        <v>1.2329</v>
      </c>
      <c r="F438" t="n">
        <v>73.98</v>
      </c>
      <c r="G438">
        <f>H438/60</f>
        <v/>
      </c>
      <c r="H438">
        <f>MEDIAN(I436,I437,I438,I439,I440)</f>
        <v/>
      </c>
      <c r="I438" t="n">
        <v>84</v>
      </c>
      <c r="J438">
        <f>H438-F438</f>
        <v/>
      </c>
      <c r="K438">
        <f>ABS(J438)</f>
        <v/>
      </c>
      <c r="L438">
        <f>K438/F438*100</f>
        <v/>
      </c>
    </row>
    <row r="439">
      <c r="A439" t="inlineStr">
        <is>
          <t>subject06</t>
        </is>
      </c>
      <c r="B439" t="n">
        <v>30</v>
      </c>
      <c r="C439" t="n">
        <v>145</v>
      </c>
      <c r="D439" t="n">
        <v>165</v>
      </c>
      <c r="E439" t="n">
        <v>1.2175</v>
      </c>
      <c r="F439" t="n">
        <v>73.05</v>
      </c>
      <c r="G439">
        <f>H439/60</f>
        <v/>
      </c>
      <c r="H439">
        <f>MEDIAN(I437,I438,I439,I440,I441)</f>
        <v/>
      </c>
      <c r="I439" t="n">
        <v>84</v>
      </c>
      <c r="J439">
        <f>H439-F439</f>
        <v/>
      </c>
      <c r="K439">
        <f>ABS(J439)</f>
        <v/>
      </c>
      <c r="L439">
        <f>K439/F439*100</f>
        <v/>
      </c>
    </row>
    <row r="440">
      <c r="A440" t="inlineStr">
        <is>
          <t>subject06</t>
        </is>
      </c>
      <c r="B440" t="n">
        <v>31</v>
      </c>
      <c r="C440" t="n">
        <v>150</v>
      </c>
      <c r="D440" t="n">
        <v>170</v>
      </c>
      <c r="E440" t="n">
        <v>1.2074</v>
      </c>
      <c r="F440" t="n">
        <v>72.44</v>
      </c>
      <c r="G440">
        <f>H440/60</f>
        <v/>
      </c>
      <c r="H440">
        <f>MEDIAN(I438,I439,I440,I441,I442)</f>
        <v/>
      </c>
      <c r="I440" t="n">
        <v>54</v>
      </c>
      <c r="J440">
        <f>H440-F440</f>
        <v/>
      </c>
      <c r="K440">
        <f>ABS(J440)</f>
        <v/>
      </c>
      <c r="L440">
        <f>K440/F440*100</f>
        <v/>
      </c>
    </row>
    <row r="441">
      <c r="A441" t="inlineStr">
        <is>
          <t>subject06</t>
        </is>
      </c>
      <c r="B441" t="n">
        <v>32</v>
      </c>
      <c r="C441" t="n">
        <v>155</v>
      </c>
      <c r="D441" t="n">
        <v>175</v>
      </c>
      <c r="E441" t="n">
        <v>1.2098</v>
      </c>
      <c r="F441" t="n">
        <v>72.59</v>
      </c>
      <c r="G441">
        <f>H441/60</f>
        <v/>
      </c>
      <c r="H441">
        <f>MEDIAN(I439,I440,I441,I442,I443)</f>
        <v/>
      </c>
      <c r="I441" t="n">
        <v>54</v>
      </c>
      <c r="J441">
        <f>H441-F441</f>
        <v/>
      </c>
      <c r="K441">
        <f>ABS(J441)</f>
        <v/>
      </c>
      <c r="L441">
        <f>K441/F441*100</f>
        <v/>
      </c>
    </row>
    <row r="442">
      <c r="A442" t="inlineStr">
        <is>
          <t>subject06</t>
        </is>
      </c>
      <c r="B442" t="n">
        <v>33</v>
      </c>
      <c r="C442" t="n">
        <v>160</v>
      </c>
      <c r="D442" t="n">
        <v>180</v>
      </c>
      <c r="E442" t="n">
        <v>1.2239</v>
      </c>
      <c r="F442" t="n">
        <v>73.43000000000001</v>
      </c>
      <c r="G442">
        <f>H442/60</f>
        <v/>
      </c>
      <c r="H442">
        <f>MEDIAN(I440,I441,I442,I443,I444)</f>
        <v/>
      </c>
      <c r="I442" t="n">
        <v>54</v>
      </c>
      <c r="J442">
        <f>H442-F442</f>
        <v/>
      </c>
      <c r="K442">
        <f>ABS(J442)</f>
        <v/>
      </c>
      <c r="L442">
        <f>K442/F442*100</f>
        <v/>
      </c>
    </row>
    <row r="443">
      <c r="A443" t="inlineStr">
        <is>
          <t>subject06</t>
        </is>
      </c>
      <c r="B443" t="n">
        <v>34</v>
      </c>
      <c r="C443" t="n">
        <v>165</v>
      </c>
      <c r="D443" t="n">
        <v>185</v>
      </c>
      <c r="E443" t="n">
        <v>1.2233</v>
      </c>
      <c r="F443" t="n">
        <v>73.40000000000001</v>
      </c>
      <c r="G443">
        <f>H443/60</f>
        <v/>
      </c>
      <c r="H443">
        <f>MEDIAN(I441,I442,I443,I444,I445)</f>
        <v/>
      </c>
      <c r="I443" t="n">
        <v>108</v>
      </c>
      <c r="J443">
        <f>H443-F443</f>
        <v/>
      </c>
      <c r="K443">
        <f>ABS(J443)</f>
        <v/>
      </c>
      <c r="L443">
        <f>K443/F443*100</f>
        <v/>
      </c>
    </row>
    <row r="444">
      <c r="A444" t="inlineStr">
        <is>
          <t>subject06</t>
        </is>
      </c>
      <c r="B444" t="n">
        <v>35</v>
      </c>
      <c r="C444" t="n">
        <v>170</v>
      </c>
      <c r="D444" t="n">
        <v>190</v>
      </c>
      <c r="E444" t="n">
        <v>1.2163</v>
      </c>
      <c r="F444" t="n">
        <v>72.98</v>
      </c>
      <c r="G444">
        <f>H444/60</f>
        <v/>
      </c>
      <c r="H444">
        <f>MEDIAN(I442,I443,I444,I445,I446)</f>
        <v/>
      </c>
      <c r="I444" t="n">
        <v>63</v>
      </c>
      <c r="J444">
        <f>H444-F444</f>
        <v/>
      </c>
      <c r="K444">
        <f>ABS(J444)</f>
        <v/>
      </c>
      <c r="L444">
        <f>K444/F444*100</f>
        <v/>
      </c>
    </row>
    <row r="445">
      <c r="A445" t="inlineStr">
        <is>
          <t>subject06</t>
        </is>
      </c>
      <c r="B445" t="n">
        <v>36</v>
      </c>
      <c r="C445" t="n">
        <v>175</v>
      </c>
      <c r="D445" t="n">
        <v>195</v>
      </c>
      <c r="E445" t="n">
        <v>1.2214</v>
      </c>
      <c r="F445" t="n">
        <v>73.28</v>
      </c>
      <c r="G445">
        <f>H445/60</f>
        <v/>
      </c>
      <c r="H445">
        <f>MEDIAN(I443,I444,I445,I446,I447)</f>
        <v/>
      </c>
      <c r="I445" t="n">
        <v>54</v>
      </c>
      <c r="J445">
        <f>H445-F445</f>
        <v/>
      </c>
      <c r="K445">
        <f>ABS(J445)</f>
        <v/>
      </c>
      <c r="L445">
        <f>K445/F445*100</f>
        <v/>
      </c>
    </row>
    <row r="446">
      <c r="A446" t="inlineStr">
        <is>
          <t>subject06</t>
        </is>
      </c>
      <c r="B446" t="n">
        <v>37</v>
      </c>
      <c r="C446" t="n">
        <v>180</v>
      </c>
      <c r="D446" t="n">
        <v>200</v>
      </c>
      <c r="E446" t="n">
        <v>1.2121</v>
      </c>
      <c r="F446" t="n">
        <v>72.73</v>
      </c>
      <c r="G446">
        <f>H446/60</f>
        <v/>
      </c>
      <c r="H446">
        <f>MEDIAN(I444,I445,I446,I447,I448)</f>
        <v/>
      </c>
      <c r="I446" t="n">
        <v>54</v>
      </c>
      <c r="J446">
        <f>H446-F446</f>
        <v/>
      </c>
      <c r="K446">
        <f>ABS(J446)</f>
        <v/>
      </c>
      <c r="L446">
        <f>K446/F446*100</f>
        <v/>
      </c>
    </row>
    <row r="447">
      <c r="A447" t="inlineStr">
        <is>
          <t>subject06</t>
        </is>
      </c>
      <c r="B447" t="n">
        <v>38</v>
      </c>
      <c r="C447" t="n">
        <v>185</v>
      </c>
      <c r="D447" t="n">
        <v>205</v>
      </c>
      <c r="E447" t="n">
        <v>1.2084</v>
      </c>
      <c r="F447" t="n">
        <v>72.51000000000001</v>
      </c>
      <c r="G447">
        <f>H447/60</f>
        <v/>
      </c>
      <c r="H447">
        <f>MEDIAN(I445,I446,I447,I448,I449)</f>
        <v/>
      </c>
      <c r="I447" t="n">
        <v>54</v>
      </c>
      <c r="J447">
        <f>H447-F447</f>
        <v/>
      </c>
      <c r="K447">
        <f>ABS(J447)</f>
        <v/>
      </c>
      <c r="L447">
        <f>K447/F447*100</f>
        <v/>
      </c>
    </row>
    <row r="448">
      <c r="A448" t="inlineStr">
        <is>
          <t>subject06</t>
        </is>
      </c>
      <c r="B448" t="n">
        <v>39</v>
      </c>
      <c r="C448" t="n">
        <v>190</v>
      </c>
      <c r="D448" t="n">
        <v>210</v>
      </c>
      <c r="E448" t="n">
        <v>1.2141</v>
      </c>
      <c r="F448" t="n">
        <v>72.84</v>
      </c>
      <c r="G448">
        <f>H448/60</f>
        <v/>
      </c>
      <c r="H448">
        <f>MEDIAN(I446,I447,I448,I449,I450)</f>
        <v/>
      </c>
      <c r="I448" t="n">
        <v>87</v>
      </c>
      <c r="J448">
        <f>H448-F448</f>
        <v/>
      </c>
      <c r="K448">
        <f>ABS(J448)</f>
        <v/>
      </c>
      <c r="L448">
        <f>K448/F448*100</f>
        <v/>
      </c>
    </row>
    <row r="449">
      <c r="A449" t="inlineStr">
        <is>
          <t>subject06</t>
        </is>
      </c>
      <c r="B449" t="n">
        <v>40</v>
      </c>
      <c r="C449" t="n">
        <v>195</v>
      </c>
      <c r="D449" t="n">
        <v>215</v>
      </c>
      <c r="E449" t="n">
        <v>1.2321</v>
      </c>
      <c r="F449" t="n">
        <v>73.92</v>
      </c>
      <c r="G449">
        <f>H449/60</f>
        <v/>
      </c>
      <c r="H449">
        <f>MEDIAN(I447,I448,I449,I450,I451)</f>
        <v/>
      </c>
      <c r="I449" t="n">
        <v>63</v>
      </c>
      <c r="J449">
        <f>H449-F449</f>
        <v/>
      </c>
      <c r="K449">
        <f>ABS(J449)</f>
        <v/>
      </c>
      <c r="L449">
        <f>K449/F449*100</f>
        <v/>
      </c>
    </row>
    <row r="450">
      <c r="A450" t="inlineStr">
        <is>
          <t>subject06</t>
        </is>
      </c>
      <c r="B450" t="n">
        <v>41</v>
      </c>
      <c r="C450" t="n">
        <v>200</v>
      </c>
      <c r="D450" t="n">
        <v>220</v>
      </c>
      <c r="E450" t="n">
        <v>1.2238</v>
      </c>
      <c r="F450" t="n">
        <v>73.43000000000001</v>
      </c>
      <c r="G450">
        <f>H450/60</f>
        <v/>
      </c>
      <c r="H450">
        <f>MEDIAN(I448,I449,I450,I451,I452)</f>
        <v/>
      </c>
      <c r="I450" t="n">
        <v>66</v>
      </c>
      <c r="J450">
        <f>H450-F450</f>
        <v/>
      </c>
      <c r="K450">
        <f>ABS(J450)</f>
        <v/>
      </c>
      <c r="L450">
        <f>K450/F450*100</f>
        <v/>
      </c>
    </row>
    <row r="451">
      <c r="A451" t="inlineStr">
        <is>
          <t>subject06</t>
        </is>
      </c>
      <c r="B451" t="n">
        <v>42</v>
      </c>
      <c r="C451" t="n">
        <v>205</v>
      </c>
      <c r="D451" t="n">
        <v>225</v>
      </c>
      <c r="E451" t="n">
        <v>1.2312</v>
      </c>
      <c r="F451" t="n">
        <v>73.87</v>
      </c>
      <c r="G451">
        <f>H451/60</f>
        <v/>
      </c>
      <c r="H451">
        <f>MEDIAN(I449,I450,I451,I452,I453)</f>
        <v/>
      </c>
      <c r="I451" t="n">
        <v>69</v>
      </c>
      <c r="J451">
        <f>H451-F451</f>
        <v/>
      </c>
      <c r="K451">
        <f>ABS(J451)</f>
        <v/>
      </c>
      <c r="L451">
        <f>K451/F451*100</f>
        <v/>
      </c>
    </row>
    <row r="452">
      <c r="A452" t="inlineStr">
        <is>
          <t>subject06</t>
        </is>
      </c>
      <c r="B452" t="n">
        <v>43</v>
      </c>
      <c r="C452" t="n">
        <v>210</v>
      </c>
      <c r="D452" t="n">
        <v>230</v>
      </c>
      <c r="E452" t="n">
        <v>1.2269</v>
      </c>
      <c r="F452" t="n">
        <v>73.61</v>
      </c>
      <c r="G452">
        <f>H452/60</f>
        <v/>
      </c>
      <c r="H452">
        <f>MEDIAN(I450,I451,I452,I453,I454)</f>
        <v/>
      </c>
      <c r="I452" t="n">
        <v>75</v>
      </c>
      <c r="J452">
        <f>H452-F452</f>
        <v/>
      </c>
      <c r="K452">
        <f>ABS(J452)</f>
        <v/>
      </c>
      <c r="L452">
        <f>K452/F452*100</f>
        <v/>
      </c>
    </row>
    <row r="453">
      <c r="A453" t="inlineStr">
        <is>
          <t>subject06</t>
        </is>
      </c>
      <c r="B453" t="n">
        <v>44</v>
      </c>
      <c r="C453" t="n">
        <v>215</v>
      </c>
      <c r="D453" t="n">
        <v>235</v>
      </c>
      <c r="E453" t="n">
        <v>1.1946</v>
      </c>
      <c r="F453" t="n">
        <v>71.67</v>
      </c>
      <c r="G453">
        <f>H453/60</f>
        <v/>
      </c>
      <c r="H453">
        <f>MEDIAN(I451,I452,I453,I454,I455)</f>
        <v/>
      </c>
      <c r="I453" t="n">
        <v>60</v>
      </c>
      <c r="J453">
        <f>H453-F453</f>
        <v/>
      </c>
      <c r="K453">
        <f>ABS(J453)</f>
        <v/>
      </c>
      <c r="L453">
        <f>K453/F453*100</f>
        <v/>
      </c>
    </row>
    <row r="454">
      <c r="A454" t="inlineStr">
        <is>
          <t>subject06</t>
        </is>
      </c>
      <c r="B454" t="n">
        <v>45</v>
      </c>
      <c r="C454" t="n">
        <v>220</v>
      </c>
      <c r="D454" t="n">
        <v>240</v>
      </c>
      <c r="E454" t="n">
        <v>1.2075</v>
      </c>
      <c r="F454" t="n">
        <v>72.45</v>
      </c>
      <c r="G454">
        <f>H454/60</f>
        <v/>
      </c>
      <c r="H454">
        <f>MEDIAN(I452,I453,I454,I455,I456)</f>
        <v/>
      </c>
      <c r="I454" t="n">
        <v>57</v>
      </c>
      <c r="J454">
        <f>H454-F454</f>
        <v/>
      </c>
      <c r="K454">
        <f>ABS(J454)</f>
        <v/>
      </c>
      <c r="L454">
        <f>K454/F454*100</f>
        <v/>
      </c>
    </row>
    <row r="455">
      <c r="A455" t="inlineStr">
        <is>
          <t>subject06</t>
        </is>
      </c>
      <c r="B455" t="n">
        <v>46</v>
      </c>
      <c r="C455" t="n">
        <v>225</v>
      </c>
      <c r="D455" t="n">
        <v>245</v>
      </c>
      <c r="E455" t="n">
        <v>1.2422</v>
      </c>
      <c r="F455" t="n">
        <v>74.53</v>
      </c>
      <c r="G455">
        <f>H455/60</f>
        <v/>
      </c>
      <c r="H455">
        <f>MEDIAN(I453,I454,I455,I456,I457)</f>
        <v/>
      </c>
      <c r="I455" t="n">
        <v>63</v>
      </c>
      <c r="J455">
        <f>H455-F455</f>
        <v/>
      </c>
      <c r="K455">
        <f>ABS(J455)</f>
        <v/>
      </c>
      <c r="L455">
        <f>K455/F455*100</f>
        <v/>
      </c>
    </row>
    <row r="456">
      <c r="A456" t="inlineStr">
        <is>
          <t>subject06</t>
        </is>
      </c>
      <c r="B456" t="n">
        <v>47</v>
      </c>
      <c r="C456" t="n">
        <v>230</v>
      </c>
      <c r="D456" t="n">
        <v>250</v>
      </c>
      <c r="E456" t="n">
        <v>1.2663</v>
      </c>
      <c r="F456" t="n">
        <v>75.98</v>
      </c>
      <c r="G456">
        <f>H456/60</f>
        <v/>
      </c>
      <c r="H456">
        <f>MEDIAN(I454,I455,I456,I457,I458)</f>
        <v/>
      </c>
      <c r="I456" t="n">
        <v>60</v>
      </c>
      <c r="J456">
        <f>H456-F456</f>
        <v/>
      </c>
      <c r="K456">
        <f>ABS(J456)</f>
        <v/>
      </c>
      <c r="L456">
        <f>K456/F456*100</f>
        <v/>
      </c>
    </row>
    <row r="457">
      <c r="A457" t="inlineStr">
        <is>
          <t>subject06</t>
        </is>
      </c>
      <c r="B457" t="n">
        <v>48</v>
      </c>
      <c r="C457" t="n">
        <v>235</v>
      </c>
      <c r="D457" t="n">
        <v>255</v>
      </c>
      <c r="E457" t="n">
        <v>1.2658</v>
      </c>
      <c r="F457" t="n">
        <v>75.95</v>
      </c>
      <c r="G457">
        <f>H457/60</f>
        <v/>
      </c>
      <c r="H457">
        <f>MEDIAN(I455,I456,I457,I458,I459)</f>
        <v/>
      </c>
      <c r="I457" t="n">
        <v>60</v>
      </c>
      <c r="J457">
        <f>H457-F457</f>
        <v/>
      </c>
      <c r="K457">
        <f>ABS(J457)</f>
        <v/>
      </c>
      <c r="L457">
        <f>K457/F457*100</f>
        <v/>
      </c>
    </row>
    <row r="458">
      <c r="A458" t="inlineStr">
        <is>
          <t>subject06</t>
        </is>
      </c>
      <c r="B458" t="n">
        <v>49</v>
      </c>
      <c r="C458" t="n">
        <v>240</v>
      </c>
      <c r="D458" t="n">
        <v>260</v>
      </c>
      <c r="E458" t="n">
        <v>1.2696</v>
      </c>
      <c r="F458" t="n">
        <v>76.18000000000001</v>
      </c>
      <c r="G458">
        <f>H458/60</f>
        <v/>
      </c>
      <c r="H458">
        <f>MEDIAN(I456,I457,I458,I459,I460)</f>
        <v/>
      </c>
      <c r="I458" t="n">
        <v>78</v>
      </c>
      <c r="J458">
        <f>H458-F458</f>
        <v/>
      </c>
      <c r="K458">
        <f>ABS(J458)</f>
        <v/>
      </c>
      <c r="L458">
        <f>K458/F458*100</f>
        <v/>
      </c>
    </row>
    <row r="459">
      <c r="A459" t="inlineStr">
        <is>
          <t>subject06</t>
        </is>
      </c>
      <c r="B459" t="n">
        <v>50</v>
      </c>
      <c r="C459" t="n">
        <v>245</v>
      </c>
      <c r="D459" t="n">
        <v>265</v>
      </c>
      <c r="E459" t="n">
        <v>1.2539</v>
      </c>
      <c r="F459" t="n">
        <v>75.23</v>
      </c>
      <c r="G459">
        <f>H459/60</f>
        <v/>
      </c>
      <c r="H459">
        <f>MEDIAN(I457,I458,I459,I460,I461)</f>
        <v/>
      </c>
      <c r="I459" t="n">
        <v>75</v>
      </c>
      <c r="J459">
        <f>H459-F459</f>
        <v/>
      </c>
      <c r="K459">
        <f>ABS(J459)</f>
        <v/>
      </c>
      <c r="L459">
        <f>K459/F459*100</f>
        <v/>
      </c>
    </row>
    <row r="460">
      <c r="A460" t="inlineStr">
        <is>
          <t>subject06</t>
        </is>
      </c>
      <c r="B460" t="n">
        <v>51</v>
      </c>
      <c r="C460" t="n">
        <v>250</v>
      </c>
      <c r="D460" t="n">
        <v>270</v>
      </c>
      <c r="E460" t="n">
        <v>1.271</v>
      </c>
      <c r="F460" t="n">
        <v>76.26000000000001</v>
      </c>
      <c r="G460">
        <f>H460/60</f>
        <v/>
      </c>
      <c r="H460">
        <f>MEDIAN(I458,I459,I460,I461,I462)</f>
        <v/>
      </c>
      <c r="I460" t="n">
        <v>72</v>
      </c>
      <c r="J460">
        <f>H460-F460</f>
        <v/>
      </c>
      <c r="K460">
        <f>ABS(J460)</f>
        <v/>
      </c>
      <c r="L460">
        <f>K460/F460*100</f>
        <v/>
      </c>
    </row>
    <row r="461">
      <c r="A461" t="inlineStr">
        <is>
          <t>subject06</t>
        </is>
      </c>
      <c r="B461" t="n">
        <v>52</v>
      </c>
      <c r="C461" t="n">
        <v>255</v>
      </c>
      <c r="D461" t="n">
        <v>275</v>
      </c>
      <c r="E461" t="n">
        <v>1.3178</v>
      </c>
      <c r="F461" t="n">
        <v>79.06999999999999</v>
      </c>
      <c r="G461">
        <f>H461/60</f>
        <v/>
      </c>
      <c r="H461">
        <f>MEDIAN(I459,I460,I461,I462,I463)</f>
        <v/>
      </c>
      <c r="I461" t="n">
        <v>75</v>
      </c>
      <c r="J461">
        <f>H461-F461</f>
        <v/>
      </c>
      <c r="K461">
        <f>ABS(J461)</f>
        <v/>
      </c>
      <c r="L461">
        <f>K461/F461*100</f>
        <v/>
      </c>
    </row>
    <row r="462">
      <c r="A462" t="inlineStr">
        <is>
          <t>subject06</t>
        </is>
      </c>
      <c r="B462" t="n">
        <v>53</v>
      </c>
      <c r="C462" t="n">
        <v>260</v>
      </c>
      <c r="D462" t="n">
        <v>280</v>
      </c>
      <c r="E462" t="n">
        <v>1.3317</v>
      </c>
      <c r="F462" t="n">
        <v>79.90000000000001</v>
      </c>
      <c r="G462">
        <f>H462/60</f>
        <v/>
      </c>
      <c r="H462">
        <f>MEDIAN(I460,I461,I462,I463,I464)</f>
        <v/>
      </c>
      <c r="I462" t="n">
        <v>78</v>
      </c>
      <c r="J462">
        <f>H462-F462</f>
        <v/>
      </c>
      <c r="K462">
        <f>ABS(J462)</f>
        <v/>
      </c>
      <c r="L462">
        <f>K462/F462*100</f>
        <v/>
      </c>
    </row>
    <row r="463">
      <c r="A463" t="inlineStr">
        <is>
          <t>subject06</t>
        </is>
      </c>
      <c r="B463" t="n">
        <v>54</v>
      </c>
      <c r="C463" t="n">
        <v>265</v>
      </c>
      <c r="D463" t="n">
        <v>285</v>
      </c>
      <c r="E463" t="n">
        <v>1.3324</v>
      </c>
      <c r="F463" t="n">
        <v>79.94</v>
      </c>
      <c r="G463">
        <f>H463/60</f>
        <v/>
      </c>
      <c r="H463">
        <f>MEDIAN(I461,I462,I463,I464,I465)</f>
        <v/>
      </c>
      <c r="I463" t="n">
        <v>81</v>
      </c>
      <c r="J463">
        <f>H463-F463</f>
        <v/>
      </c>
      <c r="K463">
        <f>ABS(J463)</f>
        <v/>
      </c>
      <c r="L463">
        <f>K463/F463*100</f>
        <v/>
      </c>
    </row>
    <row r="464">
      <c r="A464" t="inlineStr">
        <is>
          <t>subject06</t>
        </is>
      </c>
      <c r="B464" t="n">
        <v>55</v>
      </c>
      <c r="C464" t="n">
        <v>270</v>
      </c>
      <c r="D464" t="n">
        <v>290</v>
      </c>
      <c r="E464" t="n">
        <v>1.3126</v>
      </c>
      <c r="F464" t="n">
        <v>78.76000000000001</v>
      </c>
      <c r="G464">
        <f>H464/60</f>
        <v/>
      </c>
      <c r="H464">
        <f>MEDIAN(I462,I463,I464,I465,I466)</f>
        <v/>
      </c>
      <c r="I464" t="n">
        <v>102</v>
      </c>
      <c r="J464">
        <f>H464-F464</f>
        <v/>
      </c>
      <c r="K464">
        <f>ABS(J464)</f>
        <v/>
      </c>
      <c r="L464">
        <f>K464/F464*100</f>
        <v/>
      </c>
    </row>
    <row r="465">
      <c r="A465" t="inlineStr">
        <is>
          <t>subject06</t>
        </is>
      </c>
      <c r="B465" t="n">
        <v>56</v>
      </c>
      <c r="C465" t="n">
        <v>275</v>
      </c>
      <c r="D465" t="n">
        <v>295</v>
      </c>
      <c r="E465" t="n">
        <v>1.2765</v>
      </c>
      <c r="F465" t="n">
        <v>76.59</v>
      </c>
      <c r="G465">
        <f>H465/60</f>
        <v/>
      </c>
      <c r="H465">
        <f>MEDIAN(I463,I464,I465,I466,I467)</f>
        <v/>
      </c>
      <c r="I465" t="n">
        <v>102</v>
      </c>
      <c r="J465">
        <f>H465-F465</f>
        <v/>
      </c>
      <c r="K465">
        <f>ABS(J465)</f>
        <v/>
      </c>
      <c r="L465">
        <f>K465/F465*100</f>
        <v/>
      </c>
    </row>
    <row r="466">
      <c r="A466" t="inlineStr">
        <is>
          <t>subject06</t>
        </is>
      </c>
      <c r="B466" t="n">
        <v>57</v>
      </c>
      <c r="C466" t="n">
        <v>280</v>
      </c>
      <c r="D466" t="n">
        <v>300</v>
      </c>
      <c r="E466" t="n">
        <v>1.2622</v>
      </c>
      <c r="F466" t="n">
        <v>75.73</v>
      </c>
      <c r="G466">
        <f>H466/60</f>
        <v/>
      </c>
      <c r="H466">
        <f>MEDIAN(I464,I465,I466,I467,I468)</f>
        <v/>
      </c>
      <c r="I466" t="n">
        <v>102</v>
      </c>
      <c r="J466">
        <f>H466-F466</f>
        <v/>
      </c>
      <c r="K466">
        <f>ABS(J466)</f>
        <v/>
      </c>
      <c r="L466">
        <f>K466/F466*100</f>
        <v/>
      </c>
    </row>
    <row r="467">
      <c r="A467" t="inlineStr">
        <is>
          <t>subject06</t>
        </is>
      </c>
      <c r="B467" t="n">
        <v>58</v>
      </c>
      <c r="C467" t="n">
        <v>285</v>
      </c>
      <c r="D467" t="n">
        <v>305</v>
      </c>
      <c r="E467" t="n">
        <v>1.2627</v>
      </c>
      <c r="F467" t="n">
        <v>75.76000000000001</v>
      </c>
      <c r="G467">
        <f>H467/60</f>
        <v/>
      </c>
      <c r="H467">
        <f>MEDIAN(I465,I466,I467,I468,I469)</f>
        <v/>
      </c>
      <c r="I467" t="n">
        <v>75</v>
      </c>
      <c r="J467">
        <f>H467-F467</f>
        <v/>
      </c>
      <c r="K467">
        <f>ABS(J467)</f>
        <v/>
      </c>
      <c r="L467">
        <f>K467/F467*100</f>
        <v/>
      </c>
    </row>
    <row r="468">
      <c r="A468" t="inlineStr">
        <is>
          <t>subject06</t>
        </is>
      </c>
      <c r="B468" t="n">
        <v>59</v>
      </c>
      <c r="C468" t="n">
        <v>290</v>
      </c>
      <c r="D468" t="n">
        <v>310</v>
      </c>
      <c r="E468" t="n">
        <v>1.2974</v>
      </c>
      <c r="F468" t="n">
        <v>77.84999999999999</v>
      </c>
      <c r="G468">
        <f>H468/60</f>
        <v/>
      </c>
      <c r="H468">
        <f>MEDIAN(I466,I467,I468,I469,I470)</f>
        <v/>
      </c>
      <c r="I468" t="n">
        <v>84</v>
      </c>
      <c r="J468">
        <f>H468-F468</f>
        <v/>
      </c>
      <c r="K468">
        <f>ABS(J468)</f>
        <v/>
      </c>
      <c r="L468">
        <f>K468/F468*100</f>
        <v/>
      </c>
    </row>
    <row r="469">
      <c r="A469" t="inlineStr">
        <is>
          <t>subject06</t>
        </is>
      </c>
      <c r="B469" t="n">
        <v>60</v>
      </c>
      <c r="C469" t="n">
        <v>295</v>
      </c>
      <c r="D469" t="n">
        <v>315</v>
      </c>
      <c r="E469" t="n">
        <v>1.3776</v>
      </c>
      <c r="F469" t="n">
        <v>82.66</v>
      </c>
      <c r="G469">
        <f>H469/60</f>
        <v/>
      </c>
      <c r="H469">
        <f>MEDIAN(I467,I468,I469,I470,I471)</f>
        <v/>
      </c>
      <c r="I469" t="n">
        <v>90</v>
      </c>
      <c r="J469">
        <f>H469-F469</f>
        <v/>
      </c>
      <c r="K469">
        <f>ABS(J469)</f>
        <v/>
      </c>
      <c r="L469">
        <f>K469/F469*100</f>
        <v/>
      </c>
    </row>
    <row r="470">
      <c r="A470" t="inlineStr">
        <is>
          <t>subject06</t>
        </is>
      </c>
      <c r="B470" t="n">
        <v>61</v>
      </c>
      <c r="C470" t="n">
        <v>300</v>
      </c>
      <c r="D470" t="n">
        <v>320</v>
      </c>
      <c r="E470" t="n">
        <v>1.4449</v>
      </c>
      <c r="F470" t="n">
        <v>86.7</v>
      </c>
      <c r="G470">
        <f>H470/60</f>
        <v/>
      </c>
      <c r="H470">
        <f>MEDIAN(I468,I469,I470,I471,I472)</f>
        <v/>
      </c>
      <c r="I470" t="n">
        <v>90</v>
      </c>
      <c r="J470">
        <f>H470-F470</f>
        <v/>
      </c>
      <c r="K470">
        <f>ABS(J470)</f>
        <v/>
      </c>
      <c r="L470">
        <f>K470/F470*100</f>
        <v/>
      </c>
    </row>
    <row r="471">
      <c r="A471" t="inlineStr">
        <is>
          <t>subject06</t>
        </is>
      </c>
      <c r="B471" t="n">
        <v>62</v>
      </c>
      <c r="C471" t="n">
        <v>305</v>
      </c>
      <c r="D471" t="n">
        <v>325</v>
      </c>
      <c r="E471" t="n">
        <v>1.4561</v>
      </c>
      <c r="F471" t="n">
        <v>87.37</v>
      </c>
      <c r="G471">
        <f>H471/60</f>
        <v/>
      </c>
      <c r="H471">
        <f>MEDIAN(I469,I470,I471,I472,I473)</f>
        <v/>
      </c>
      <c r="I471" t="n">
        <v>63</v>
      </c>
      <c r="J471">
        <f>H471-F471</f>
        <v/>
      </c>
      <c r="K471">
        <f>ABS(J471)</f>
        <v/>
      </c>
      <c r="L471">
        <f>K471/F471*100</f>
        <v/>
      </c>
    </row>
    <row r="472">
      <c r="A472" t="inlineStr">
        <is>
          <t>subject06</t>
        </is>
      </c>
      <c r="B472" t="n">
        <v>63</v>
      </c>
      <c r="C472" t="n">
        <v>310</v>
      </c>
      <c r="D472" t="n">
        <v>330</v>
      </c>
      <c r="E472" t="n">
        <v>1.4303</v>
      </c>
      <c r="F472" t="n">
        <v>85.81999999999999</v>
      </c>
      <c r="G472">
        <f>H472/60</f>
        <v/>
      </c>
      <c r="H472">
        <f>MEDIAN(I470,I471,I472,I473,I474)</f>
        <v/>
      </c>
      <c r="I472" t="n">
        <v>60</v>
      </c>
      <c r="J472">
        <f>H472-F472</f>
        <v/>
      </c>
      <c r="K472">
        <f>ABS(J472)</f>
        <v/>
      </c>
      <c r="L472">
        <f>K472/F472*100</f>
        <v/>
      </c>
    </row>
    <row r="473">
      <c r="A473" t="inlineStr">
        <is>
          <t>subject06</t>
        </is>
      </c>
      <c r="B473" t="n">
        <v>64</v>
      </c>
      <c r="C473" t="n">
        <v>315</v>
      </c>
      <c r="D473" t="n">
        <v>335</v>
      </c>
      <c r="E473" t="n">
        <v>1.3698</v>
      </c>
      <c r="F473" t="n">
        <v>82.19</v>
      </c>
      <c r="G473">
        <f>H473/60</f>
        <v/>
      </c>
      <c r="H473">
        <f>MEDIAN(I471,I472,I473,I474,I475)</f>
        <v/>
      </c>
      <c r="I473" t="n">
        <v>93</v>
      </c>
      <c r="J473">
        <f>H473-F473</f>
        <v/>
      </c>
      <c r="K473">
        <f>ABS(J473)</f>
        <v/>
      </c>
      <c r="L473">
        <f>K473/F473*100</f>
        <v/>
      </c>
    </row>
    <row r="474">
      <c r="A474" t="inlineStr">
        <is>
          <t>subject06</t>
        </is>
      </c>
      <c r="B474" t="n">
        <v>65</v>
      </c>
      <c r="C474" t="n">
        <v>320</v>
      </c>
      <c r="D474" t="n">
        <v>340</v>
      </c>
      <c r="E474" t="n">
        <v>1.3124</v>
      </c>
      <c r="F474" t="n">
        <v>78.73999999999999</v>
      </c>
      <c r="G474">
        <f>H474/60</f>
        <v/>
      </c>
      <c r="H474">
        <f>MEDIAN(I472,I473,I474,I475,I476)</f>
        <v/>
      </c>
      <c r="I474" t="n">
        <v>75</v>
      </c>
      <c r="J474">
        <f>H474-F474</f>
        <v/>
      </c>
      <c r="K474">
        <f>ABS(J474)</f>
        <v/>
      </c>
      <c r="L474">
        <f>K474/F474*100</f>
        <v/>
      </c>
    </row>
    <row r="475">
      <c r="A475" t="inlineStr">
        <is>
          <t>subject06</t>
        </is>
      </c>
      <c r="B475" t="n">
        <v>66</v>
      </c>
      <c r="C475" t="n">
        <v>325</v>
      </c>
      <c r="D475" t="n">
        <v>345</v>
      </c>
      <c r="E475" t="n">
        <v>1.315</v>
      </c>
      <c r="F475" t="n">
        <v>78.90000000000001</v>
      </c>
      <c r="G475">
        <f>H475/60</f>
        <v/>
      </c>
      <c r="H475">
        <f>MEDIAN(I473,I474,I475,I476,I477)</f>
        <v/>
      </c>
      <c r="I475" t="n">
        <v>60</v>
      </c>
      <c r="J475">
        <f>H475-F475</f>
        <v/>
      </c>
      <c r="K475">
        <f>ABS(J475)</f>
        <v/>
      </c>
      <c r="L475">
        <f>K475/F475*100</f>
        <v/>
      </c>
    </row>
    <row r="476">
      <c r="A476" t="inlineStr">
        <is>
          <t>subject06</t>
        </is>
      </c>
      <c r="B476" t="n">
        <v>67</v>
      </c>
      <c r="C476" t="n">
        <v>330</v>
      </c>
      <c r="D476" t="n">
        <v>350</v>
      </c>
      <c r="E476" t="n">
        <v>1.3183</v>
      </c>
      <c r="F476" t="n">
        <v>79.09999999999999</v>
      </c>
      <c r="G476">
        <f>H476/60</f>
        <v/>
      </c>
      <c r="H476">
        <f>MEDIAN(I474,I475,I476,I477,I478)</f>
        <v/>
      </c>
      <c r="I476" t="n">
        <v>60</v>
      </c>
      <c r="J476">
        <f>H476-F476</f>
        <v/>
      </c>
      <c r="K476">
        <f>ABS(J476)</f>
        <v/>
      </c>
      <c r="L476">
        <f>K476/F476*100</f>
        <v/>
      </c>
    </row>
    <row r="477">
      <c r="A477" t="inlineStr">
        <is>
          <t>subject06</t>
        </is>
      </c>
      <c r="B477" t="n">
        <v>68</v>
      </c>
      <c r="C477" t="n">
        <v>335</v>
      </c>
      <c r="D477" t="n">
        <v>355</v>
      </c>
      <c r="E477" t="n">
        <v>1.3413</v>
      </c>
      <c r="F477" t="n">
        <v>80.48</v>
      </c>
      <c r="G477">
        <f>H477/60</f>
        <v/>
      </c>
      <c r="H477">
        <f>MEDIAN(I475,I476,I477,I478,I479)</f>
        <v/>
      </c>
      <c r="I477" t="n">
        <v>72</v>
      </c>
      <c r="J477">
        <f>H477-F477</f>
        <v/>
      </c>
      <c r="K477">
        <f>ABS(J477)</f>
        <v/>
      </c>
      <c r="L477">
        <f>K477/F477*100</f>
        <v/>
      </c>
    </row>
    <row r="478">
      <c r="A478" t="inlineStr">
        <is>
          <t>subject06</t>
        </is>
      </c>
      <c r="B478" t="n">
        <v>69</v>
      </c>
      <c r="C478" t="n">
        <v>340</v>
      </c>
      <c r="D478" t="n">
        <v>360</v>
      </c>
      <c r="E478" t="n">
        <v>1.3268</v>
      </c>
      <c r="F478" t="n">
        <v>79.61</v>
      </c>
      <c r="G478">
        <f>H478/60</f>
        <v/>
      </c>
      <c r="H478">
        <f>MEDIAN(I476,I477,I478,I479,I480)</f>
        <v/>
      </c>
      <c r="I478" t="n">
        <v>75</v>
      </c>
      <c r="J478">
        <f>H478-F478</f>
        <v/>
      </c>
      <c r="K478">
        <f>ABS(J478)</f>
        <v/>
      </c>
      <c r="L478">
        <f>K478/F478*100</f>
        <v/>
      </c>
    </row>
    <row r="479">
      <c r="A479" t="inlineStr">
        <is>
          <t>subject06</t>
        </is>
      </c>
      <c r="B479" t="n">
        <v>70</v>
      </c>
      <c r="C479" t="n">
        <v>345</v>
      </c>
      <c r="D479" t="n">
        <v>365</v>
      </c>
      <c r="E479" t="n">
        <v>1.3227</v>
      </c>
      <c r="F479" t="n">
        <v>79.36</v>
      </c>
      <c r="G479">
        <f>H479/60</f>
        <v/>
      </c>
      <c r="H479">
        <f>MEDIAN(I477,I478,I479,I480,I481)</f>
        <v/>
      </c>
      <c r="I479" t="n">
        <v>51</v>
      </c>
      <c r="J479">
        <f>H479-F479</f>
        <v/>
      </c>
      <c r="K479">
        <f>ABS(J479)</f>
        <v/>
      </c>
      <c r="L479">
        <f>K479/F479*100</f>
        <v/>
      </c>
    </row>
    <row r="480">
      <c r="A480" t="inlineStr">
        <is>
          <t>subject06</t>
        </is>
      </c>
      <c r="B480" t="n">
        <v>71</v>
      </c>
      <c r="C480" t="n">
        <v>350</v>
      </c>
      <c r="D480" t="n">
        <v>370</v>
      </c>
      <c r="E480" t="n">
        <v>1.2976</v>
      </c>
      <c r="F480" t="n">
        <v>77.84999999999999</v>
      </c>
      <c r="G480">
        <f>H480/60</f>
        <v/>
      </c>
      <c r="H480">
        <f>MEDIAN(I478,I479,I480,I481,I482)</f>
        <v/>
      </c>
      <c r="I480" t="n">
        <v>87</v>
      </c>
      <c r="J480">
        <f>H480-F480</f>
        <v/>
      </c>
      <c r="K480">
        <f>ABS(J480)</f>
        <v/>
      </c>
      <c r="L480">
        <f>K480/F480*100</f>
        <v/>
      </c>
    </row>
    <row r="481">
      <c r="A481" t="inlineStr">
        <is>
          <t>subject06</t>
        </is>
      </c>
      <c r="B481" t="n">
        <v>72</v>
      </c>
      <c r="C481" t="n">
        <v>355</v>
      </c>
      <c r="D481" t="n">
        <v>375</v>
      </c>
      <c r="E481" t="n">
        <v>1.2508</v>
      </c>
      <c r="F481" t="n">
        <v>75.05</v>
      </c>
      <c r="G481">
        <f>H481/60</f>
        <v/>
      </c>
      <c r="H481">
        <f>MEDIAN(I479,I480,I481,I482,I483)</f>
        <v/>
      </c>
      <c r="I481" t="n">
        <v>87</v>
      </c>
      <c r="J481">
        <f>H481-F481</f>
        <v/>
      </c>
      <c r="K481">
        <f>ABS(J481)</f>
        <v/>
      </c>
      <c r="L481">
        <f>K481/F481*100</f>
        <v/>
      </c>
    </row>
    <row r="482">
      <c r="A482" t="inlineStr">
        <is>
          <t>subject06</t>
        </is>
      </c>
      <c r="B482" t="n">
        <v>73</v>
      </c>
      <c r="C482" t="n">
        <v>360</v>
      </c>
      <c r="D482" t="n">
        <v>380</v>
      </c>
      <c r="E482" t="n">
        <v>1.2481</v>
      </c>
      <c r="F482" t="n">
        <v>74.88</v>
      </c>
      <c r="G482">
        <f>H482/60</f>
        <v/>
      </c>
      <c r="H482">
        <f>MEDIAN(I480,I481,I482,I483,I484)</f>
        <v/>
      </c>
      <c r="I482" t="n">
        <v>84</v>
      </c>
      <c r="J482">
        <f>H482-F482</f>
        <v/>
      </c>
      <c r="K482">
        <f>ABS(J482)</f>
        <v/>
      </c>
      <c r="L482">
        <f>K482/F482*100</f>
        <v/>
      </c>
    </row>
    <row r="483">
      <c r="A483" t="inlineStr">
        <is>
          <t>subject06</t>
        </is>
      </c>
      <c r="B483" t="n">
        <v>74</v>
      </c>
      <c r="C483" t="n">
        <v>365</v>
      </c>
      <c r="D483" t="n">
        <v>385</v>
      </c>
      <c r="E483" t="n">
        <v>1.262</v>
      </c>
      <c r="F483" t="n">
        <v>75.72</v>
      </c>
      <c r="G483">
        <f>H483/60</f>
        <v/>
      </c>
      <c r="H483">
        <f>MEDIAN(I481,I482,I483,I484,I485)</f>
        <v/>
      </c>
      <c r="I483" t="n">
        <v>81</v>
      </c>
      <c r="J483">
        <f>H483-F483</f>
        <v/>
      </c>
      <c r="K483">
        <f>ABS(J483)</f>
        <v/>
      </c>
      <c r="L483">
        <f>K483/F483*100</f>
        <v/>
      </c>
    </row>
    <row r="484">
      <c r="A484" t="inlineStr">
        <is>
          <t>subject06</t>
        </is>
      </c>
      <c r="B484" t="n">
        <v>75</v>
      </c>
      <c r="C484" t="n">
        <v>370</v>
      </c>
      <c r="D484" t="n">
        <v>390</v>
      </c>
      <c r="E484" t="n">
        <v>1.3141</v>
      </c>
      <c r="F484" t="n">
        <v>78.84999999999999</v>
      </c>
      <c r="G484">
        <f>H484/60</f>
        <v/>
      </c>
      <c r="H484">
        <f>MEDIAN(I482,I483,I484,I485,I486)</f>
        <v/>
      </c>
      <c r="I484" t="n">
        <v>81</v>
      </c>
      <c r="J484">
        <f>H484-F484</f>
        <v/>
      </c>
      <c r="K484">
        <f>ABS(J484)</f>
        <v/>
      </c>
      <c r="L484">
        <f>K484/F484*100</f>
        <v/>
      </c>
    </row>
    <row r="485">
      <c r="A485" t="inlineStr">
        <is>
          <t>subject06</t>
        </is>
      </c>
      <c r="B485" t="n">
        <v>76</v>
      </c>
      <c r="C485" t="n">
        <v>375</v>
      </c>
      <c r="D485" t="n">
        <v>395</v>
      </c>
      <c r="E485" t="n">
        <v>1.3476</v>
      </c>
      <c r="F485" t="n">
        <v>80.84999999999999</v>
      </c>
      <c r="G485">
        <f>H485/60</f>
        <v/>
      </c>
      <c r="H485">
        <f>MEDIAN(I483,I484,I485,I486,I487)</f>
        <v/>
      </c>
      <c r="I485" t="n">
        <v>87</v>
      </c>
      <c r="J485">
        <f>H485-F485</f>
        <v/>
      </c>
      <c r="K485">
        <f>ABS(J485)</f>
        <v/>
      </c>
      <c r="L485">
        <f>K485/F485*100</f>
        <v/>
      </c>
    </row>
    <row r="486">
      <c r="A486" t="inlineStr">
        <is>
          <t>subject06</t>
        </is>
      </c>
      <c r="B486" t="n">
        <v>77</v>
      </c>
      <c r="C486" t="n">
        <v>380</v>
      </c>
      <c r="D486" t="n">
        <v>400</v>
      </c>
      <c r="E486" t="n">
        <v>1.3861</v>
      </c>
      <c r="F486" t="n">
        <v>83.17</v>
      </c>
      <c r="G486">
        <f>H486/60</f>
        <v/>
      </c>
      <c r="H486">
        <f>MEDIAN(I484,I485,I486,I487,I488)</f>
        <v/>
      </c>
      <c r="I486" t="n">
        <v>87</v>
      </c>
      <c r="J486">
        <f>H486-F486</f>
        <v/>
      </c>
      <c r="K486">
        <f>ABS(J486)</f>
        <v/>
      </c>
      <c r="L486">
        <f>K486/F486*100</f>
        <v/>
      </c>
    </row>
    <row r="487">
      <c r="A487" t="inlineStr">
        <is>
          <t>subject06</t>
        </is>
      </c>
      <c r="B487" t="n">
        <v>78</v>
      </c>
      <c r="C487" t="n">
        <v>385</v>
      </c>
      <c r="D487" t="n">
        <v>405</v>
      </c>
      <c r="E487" t="n">
        <v>1.4207</v>
      </c>
      <c r="F487" t="n">
        <v>85.23999999999999</v>
      </c>
      <c r="G487">
        <f>H487/60</f>
        <v/>
      </c>
      <c r="H487">
        <f>MEDIAN(I485,I486,I487,I488,I489)</f>
        <v/>
      </c>
      <c r="I487" t="n">
        <v>54</v>
      </c>
      <c r="J487">
        <f>H487-F487</f>
        <v/>
      </c>
      <c r="K487">
        <f>ABS(J487)</f>
        <v/>
      </c>
      <c r="L487">
        <f>K487/F487*100</f>
        <v/>
      </c>
    </row>
    <row r="488">
      <c r="A488" t="inlineStr">
        <is>
          <t>subject06</t>
        </is>
      </c>
      <c r="B488" t="n">
        <v>79</v>
      </c>
      <c r="C488" t="n">
        <v>390</v>
      </c>
      <c r="D488" t="n">
        <v>410</v>
      </c>
      <c r="E488" t="n">
        <v>1.4154</v>
      </c>
      <c r="F488" t="n">
        <v>84.92</v>
      </c>
      <c r="G488">
        <f>H488/60</f>
        <v/>
      </c>
      <c r="H488">
        <f>MEDIAN(I486,I487,I488,I489,I490)</f>
        <v/>
      </c>
      <c r="I488" t="n">
        <v>54</v>
      </c>
      <c r="J488">
        <f>H488-F488</f>
        <v/>
      </c>
      <c r="K488">
        <f>ABS(J488)</f>
        <v/>
      </c>
      <c r="L488">
        <f>K488/F488*100</f>
        <v/>
      </c>
    </row>
    <row r="489">
      <c r="A489" t="inlineStr">
        <is>
          <t>subject06</t>
        </is>
      </c>
      <c r="B489" t="n">
        <v>80</v>
      </c>
      <c r="C489" t="n">
        <v>395</v>
      </c>
      <c r="D489" t="n">
        <v>415</v>
      </c>
      <c r="E489" t="n">
        <v>1.3918</v>
      </c>
      <c r="F489" t="n">
        <v>83.51000000000001</v>
      </c>
      <c r="G489">
        <f>H489/60</f>
        <v/>
      </c>
      <c r="H489">
        <f>MEDIAN(I487,I488,I489,I490,I491)</f>
        <v/>
      </c>
      <c r="I489" t="n">
        <v>54</v>
      </c>
      <c r="J489">
        <f>H489-F489</f>
        <v/>
      </c>
      <c r="K489">
        <f>ABS(J489)</f>
        <v/>
      </c>
      <c r="L489">
        <f>K489/F489*100</f>
        <v/>
      </c>
    </row>
    <row r="490">
      <c r="A490" t="inlineStr">
        <is>
          <t>subject06</t>
        </is>
      </c>
      <c r="B490" t="n">
        <v>81</v>
      </c>
      <c r="C490" t="n">
        <v>400</v>
      </c>
      <c r="D490" t="n">
        <v>420</v>
      </c>
      <c r="E490" t="n">
        <v>1.3639</v>
      </c>
      <c r="F490" t="n">
        <v>81.84</v>
      </c>
      <c r="G490">
        <f>H490/60</f>
        <v/>
      </c>
      <c r="H490">
        <f>MEDIAN(I488,I489,I490,I491,I492)</f>
        <v/>
      </c>
      <c r="I490" t="n">
        <v>66</v>
      </c>
      <c r="J490">
        <f>H490-F490</f>
        <v/>
      </c>
      <c r="K490">
        <f>ABS(J490)</f>
        <v/>
      </c>
      <c r="L490">
        <f>K490/F490*100</f>
        <v/>
      </c>
    </row>
    <row r="491">
      <c r="A491" t="inlineStr">
        <is>
          <t>subject06</t>
        </is>
      </c>
      <c r="B491" t="n">
        <v>82</v>
      </c>
      <c r="C491" t="n">
        <v>405</v>
      </c>
      <c r="D491" t="n">
        <v>425</v>
      </c>
      <c r="E491" t="n">
        <v>1.3147</v>
      </c>
      <c r="F491" t="n">
        <v>78.88</v>
      </c>
      <c r="G491">
        <f>H491/60</f>
        <v/>
      </c>
      <c r="H491">
        <f>MEDIAN(I489,I490,I491,I492,I493)</f>
        <v/>
      </c>
      <c r="I491" t="n">
        <v>75</v>
      </c>
      <c r="J491">
        <f>H491-F491</f>
        <v/>
      </c>
      <c r="K491">
        <f>ABS(J491)</f>
        <v/>
      </c>
      <c r="L491">
        <f>K491/F491*100</f>
        <v/>
      </c>
    </row>
    <row r="492">
      <c r="A492" t="inlineStr">
        <is>
          <t>subject06</t>
        </is>
      </c>
      <c r="B492" t="n">
        <v>83</v>
      </c>
      <c r="C492" t="n">
        <v>410</v>
      </c>
      <c r="D492" t="n">
        <v>430</v>
      </c>
      <c r="E492" t="n">
        <v>1.3109</v>
      </c>
      <c r="F492" t="n">
        <v>78.65000000000001</v>
      </c>
      <c r="G492">
        <f>H492/60</f>
        <v/>
      </c>
      <c r="H492">
        <f>MEDIAN(I490,I491,I492,I493,I494)</f>
        <v/>
      </c>
      <c r="I492" t="n">
        <v>75</v>
      </c>
      <c r="J492">
        <f>H492-F492</f>
        <v/>
      </c>
      <c r="K492">
        <f>ABS(J492)</f>
        <v/>
      </c>
      <c r="L492">
        <f>K492/F492*100</f>
        <v/>
      </c>
    </row>
    <row r="493">
      <c r="A493" t="inlineStr">
        <is>
          <t>subject06</t>
        </is>
      </c>
      <c r="B493" t="n">
        <v>84</v>
      </c>
      <c r="C493" t="n">
        <v>415</v>
      </c>
      <c r="D493" t="n">
        <v>435</v>
      </c>
      <c r="E493" t="n">
        <v>1.3253</v>
      </c>
      <c r="F493" t="n">
        <v>79.52</v>
      </c>
      <c r="G493">
        <f>H493/60</f>
        <v/>
      </c>
      <c r="H493">
        <f>MEDIAN(I491,I492,I493,I494,I495)</f>
        <v/>
      </c>
      <c r="I493" t="n">
        <v>60</v>
      </c>
      <c r="J493">
        <f>H493-F493</f>
        <v/>
      </c>
      <c r="K493">
        <f>ABS(J493)</f>
        <v/>
      </c>
      <c r="L493">
        <f>K493/F493*100</f>
        <v/>
      </c>
    </row>
    <row r="494">
      <c r="A494" t="inlineStr">
        <is>
          <t>subject06</t>
        </is>
      </c>
      <c r="B494" t="n">
        <v>85</v>
      </c>
      <c r="C494" t="n">
        <v>420</v>
      </c>
      <c r="D494" t="n">
        <v>440</v>
      </c>
      <c r="E494" t="n">
        <v>1.3418</v>
      </c>
      <c r="F494" t="n">
        <v>80.51000000000001</v>
      </c>
      <c r="G494">
        <f>H494/60</f>
        <v/>
      </c>
      <c r="H494">
        <f>MEDIAN(I492,I493,I494,I495,I496)</f>
        <v/>
      </c>
      <c r="I494" t="n">
        <v>102</v>
      </c>
      <c r="J494">
        <f>H494-F494</f>
        <v/>
      </c>
      <c r="K494">
        <f>ABS(J494)</f>
        <v/>
      </c>
      <c r="L494">
        <f>K494/F494*100</f>
        <v/>
      </c>
    </row>
    <row r="495">
      <c r="A495" t="inlineStr">
        <is>
          <t>subject06</t>
        </is>
      </c>
      <c r="B495" t="n">
        <v>86</v>
      </c>
      <c r="C495" t="n">
        <v>425</v>
      </c>
      <c r="D495" t="n">
        <v>445</v>
      </c>
      <c r="E495" t="n">
        <v>1.3736</v>
      </c>
      <c r="F495" t="n">
        <v>82.41</v>
      </c>
      <c r="G495">
        <f>H495/60</f>
        <v/>
      </c>
      <c r="H495">
        <f>MEDIAN(I493,I494,I495,I496,0)</f>
        <v/>
      </c>
      <c r="I495" t="n">
        <v>66</v>
      </c>
      <c r="J495">
        <f>H495-F495</f>
        <v/>
      </c>
      <c r="K495">
        <f>ABS(J495)</f>
        <v/>
      </c>
      <c r="L495">
        <f>K495/F495*100</f>
        <v/>
      </c>
    </row>
    <row r="496">
      <c r="A496" t="inlineStr">
        <is>
          <t>subject06</t>
        </is>
      </c>
      <c r="B496" t="n">
        <v>87</v>
      </c>
      <c r="C496" t="n">
        <v>430</v>
      </c>
      <c r="D496" t="n">
        <v>450</v>
      </c>
      <c r="E496" t="n">
        <v>1.3855</v>
      </c>
      <c r="F496" t="n">
        <v>83.13</v>
      </c>
      <c r="G496">
        <f>H496/60</f>
        <v/>
      </c>
      <c r="H496">
        <f>MEDIAN(I494,I495,I496,0,0)</f>
        <v/>
      </c>
      <c r="I496" t="n">
        <v>84</v>
      </c>
      <c r="J496">
        <f>H496-F496</f>
        <v/>
      </c>
      <c r="K496">
        <f>ABS(J496)</f>
        <v/>
      </c>
      <c r="L496">
        <f>K496/F496*100</f>
        <v/>
      </c>
    </row>
    <row r="497">
      <c r="A497" t="inlineStr">
        <is>
          <t>subject07</t>
        </is>
      </c>
      <c r="B497" t="n">
        <v>1</v>
      </c>
      <c r="C497" t="n">
        <v>0</v>
      </c>
      <c r="D497" t="n">
        <v>20</v>
      </c>
      <c r="E497" t="n">
        <v>1.079</v>
      </c>
      <c r="F497" t="n">
        <v>64.73999999999999</v>
      </c>
      <c r="G497">
        <f>H497/60</f>
        <v/>
      </c>
      <c r="H497">
        <f>MEDIAN(0,0,I497,I498,I499)</f>
        <v/>
      </c>
      <c r="I497" t="n">
        <v>66</v>
      </c>
      <c r="J497">
        <f>H497-F497</f>
        <v/>
      </c>
      <c r="K497">
        <f>ABS(J497)</f>
        <v/>
      </c>
      <c r="L497">
        <f>K497/F497*100</f>
        <v/>
      </c>
    </row>
    <row r="498">
      <c r="A498" t="inlineStr">
        <is>
          <t>subject07</t>
        </is>
      </c>
      <c r="B498" t="n">
        <v>2</v>
      </c>
      <c r="C498" t="n">
        <v>5</v>
      </c>
      <c r="D498" t="n">
        <v>25</v>
      </c>
      <c r="E498" t="n">
        <v>1.0888</v>
      </c>
      <c r="F498" t="n">
        <v>65.33</v>
      </c>
      <c r="G498">
        <f>H498/60</f>
        <v/>
      </c>
      <c r="H498">
        <f>MEDIAN(0,I497,I498,I499,I500)</f>
        <v/>
      </c>
      <c r="I498" t="n">
        <v>66</v>
      </c>
      <c r="J498">
        <f>H498-F498</f>
        <v/>
      </c>
      <c r="K498">
        <f>ABS(J498)</f>
        <v/>
      </c>
      <c r="L498">
        <f>K498/F498*100</f>
        <v/>
      </c>
    </row>
    <row r="499">
      <c r="A499" t="inlineStr">
        <is>
          <t>subject07</t>
        </is>
      </c>
      <c r="B499" t="n">
        <v>3</v>
      </c>
      <c r="C499" t="n">
        <v>10</v>
      </c>
      <c r="D499" t="n">
        <v>30</v>
      </c>
      <c r="E499" t="n">
        <v>1.1012</v>
      </c>
      <c r="F499" t="n">
        <v>66.06999999999999</v>
      </c>
      <c r="G499">
        <f>H499/60</f>
        <v/>
      </c>
      <c r="H499">
        <f>MEDIAN(I497,I498,I499,I500,I501)</f>
        <v/>
      </c>
      <c r="I499" t="n">
        <v>75</v>
      </c>
      <c r="J499">
        <f>H499-F499</f>
        <v/>
      </c>
      <c r="K499">
        <f>ABS(J499)</f>
        <v/>
      </c>
      <c r="L499">
        <f>K499/F499*100</f>
        <v/>
      </c>
    </row>
    <row r="500">
      <c r="A500" t="inlineStr">
        <is>
          <t>subject07</t>
        </is>
      </c>
      <c r="B500" t="n">
        <v>4</v>
      </c>
      <c r="C500" t="n">
        <v>15</v>
      </c>
      <c r="D500" t="n">
        <v>35</v>
      </c>
      <c r="E500" t="n">
        <v>1.1089</v>
      </c>
      <c r="F500" t="n">
        <v>66.54000000000001</v>
      </c>
      <c r="G500">
        <f>H500/60</f>
        <v/>
      </c>
      <c r="H500">
        <f>MEDIAN(I498,I499,I500,I501,I502)</f>
        <v/>
      </c>
      <c r="I500" t="n">
        <v>51</v>
      </c>
      <c r="J500">
        <f>H500-F500</f>
        <v/>
      </c>
      <c r="K500">
        <f>ABS(J500)</f>
        <v/>
      </c>
      <c r="L500">
        <f>K500/F500*100</f>
        <v/>
      </c>
    </row>
    <row r="501">
      <c r="A501" t="inlineStr">
        <is>
          <t>subject07</t>
        </is>
      </c>
      <c r="B501" t="n">
        <v>5</v>
      </c>
      <c r="C501" t="n">
        <v>20</v>
      </c>
      <c r="D501" t="n">
        <v>40</v>
      </c>
      <c r="E501" t="n">
        <v>1.0933</v>
      </c>
      <c r="F501" t="n">
        <v>65.59999999999999</v>
      </c>
      <c r="G501">
        <f>H501/60</f>
        <v/>
      </c>
      <c r="H501">
        <f>MEDIAN(I499,I500,I501,I502,I503)</f>
        <v/>
      </c>
      <c r="I501" t="n">
        <v>63</v>
      </c>
      <c r="J501">
        <f>H501-F501</f>
        <v/>
      </c>
      <c r="K501">
        <f>ABS(J501)</f>
        <v/>
      </c>
      <c r="L501">
        <f>K501/F501*100</f>
        <v/>
      </c>
    </row>
    <row r="502">
      <c r="A502" t="inlineStr">
        <is>
          <t>subject07</t>
        </is>
      </c>
      <c r="B502" t="n">
        <v>6</v>
      </c>
      <c r="C502" t="n">
        <v>25</v>
      </c>
      <c r="D502" t="n">
        <v>45</v>
      </c>
      <c r="E502" t="n">
        <v>1.0915</v>
      </c>
      <c r="F502" t="n">
        <v>65.48999999999999</v>
      </c>
      <c r="G502">
        <f>H502/60</f>
        <v/>
      </c>
      <c r="H502">
        <f>MEDIAN(I500,I501,I502,I503,I504)</f>
        <v/>
      </c>
      <c r="I502" t="n">
        <v>66</v>
      </c>
      <c r="J502">
        <f>H502-F502</f>
        <v/>
      </c>
      <c r="K502">
        <f>ABS(J502)</f>
        <v/>
      </c>
      <c r="L502">
        <f>K502/F502*100</f>
        <v/>
      </c>
    </row>
    <row r="503">
      <c r="A503" t="inlineStr">
        <is>
          <t>subject07</t>
        </is>
      </c>
      <c r="B503" t="n">
        <v>7</v>
      </c>
      <c r="C503" t="n">
        <v>30</v>
      </c>
      <c r="D503" t="n">
        <v>50</v>
      </c>
      <c r="E503" t="n">
        <v>1.0958</v>
      </c>
      <c r="F503" t="n">
        <v>65.75</v>
      </c>
      <c r="G503">
        <f>H503/60</f>
        <v/>
      </c>
      <c r="H503">
        <f>MEDIAN(I501,I502,I503,I504,I505)</f>
        <v/>
      </c>
      <c r="I503" t="n">
        <v>66</v>
      </c>
      <c r="J503">
        <f>H503-F503</f>
        <v/>
      </c>
      <c r="K503">
        <f>ABS(J503)</f>
        <v/>
      </c>
      <c r="L503">
        <f>K503/F503*100</f>
        <v/>
      </c>
    </row>
    <row r="504">
      <c r="A504" t="inlineStr">
        <is>
          <t>subject07</t>
        </is>
      </c>
      <c r="B504" t="n">
        <v>8</v>
      </c>
      <c r="C504" t="n">
        <v>35</v>
      </c>
      <c r="D504" t="n">
        <v>55</v>
      </c>
      <c r="E504" t="n">
        <v>1.1132</v>
      </c>
      <c r="F504" t="n">
        <v>66.79000000000001</v>
      </c>
      <c r="G504">
        <f>H504/60</f>
        <v/>
      </c>
      <c r="H504">
        <f>MEDIAN(I502,I503,I504,I505,I506)</f>
        <v/>
      </c>
      <c r="I504" t="n">
        <v>66</v>
      </c>
      <c r="J504">
        <f>H504-F504</f>
        <v/>
      </c>
      <c r="K504">
        <f>ABS(J504)</f>
        <v/>
      </c>
      <c r="L504">
        <f>K504/F504*100</f>
        <v/>
      </c>
    </row>
    <row r="505">
      <c r="A505" t="inlineStr">
        <is>
          <t>subject07</t>
        </is>
      </c>
      <c r="B505" t="n">
        <v>9</v>
      </c>
      <c r="C505" t="n">
        <v>40</v>
      </c>
      <c r="D505" t="n">
        <v>60</v>
      </c>
      <c r="E505" t="n">
        <v>1.1259</v>
      </c>
      <c r="F505" t="n">
        <v>67.56</v>
      </c>
      <c r="G505">
        <f>H505/60</f>
        <v/>
      </c>
      <c r="H505">
        <f>MEDIAN(I503,I504,I505,I506,I507)</f>
        <v/>
      </c>
      <c r="I505" t="n">
        <v>63</v>
      </c>
      <c r="J505">
        <f>H505-F505</f>
        <v/>
      </c>
      <c r="K505">
        <f>ABS(J505)</f>
        <v/>
      </c>
      <c r="L505">
        <f>K505/F505*100</f>
        <v/>
      </c>
    </row>
    <row r="506">
      <c r="A506" t="inlineStr">
        <is>
          <t>subject07</t>
        </is>
      </c>
      <c r="B506" t="n">
        <v>10</v>
      </c>
      <c r="C506" t="n">
        <v>45</v>
      </c>
      <c r="D506" t="n">
        <v>65</v>
      </c>
      <c r="E506" t="n">
        <v>1.1156</v>
      </c>
      <c r="F506" t="n">
        <v>66.94</v>
      </c>
      <c r="G506">
        <f>H506/60</f>
        <v/>
      </c>
      <c r="H506">
        <f>MEDIAN(I504,I505,I506,I507,I508)</f>
        <v/>
      </c>
      <c r="I506" t="n">
        <v>69</v>
      </c>
      <c r="J506">
        <f>H506-F506</f>
        <v/>
      </c>
      <c r="K506">
        <f>ABS(J506)</f>
        <v/>
      </c>
      <c r="L506">
        <f>K506/F506*100</f>
        <v/>
      </c>
    </row>
    <row r="507">
      <c r="A507" t="inlineStr">
        <is>
          <t>subject07</t>
        </is>
      </c>
      <c r="B507" t="n">
        <v>11</v>
      </c>
      <c r="C507" t="n">
        <v>50</v>
      </c>
      <c r="D507" t="n">
        <v>70</v>
      </c>
      <c r="E507" t="n">
        <v>1.1161</v>
      </c>
      <c r="F507" t="n">
        <v>66.95999999999999</v>
      </c>
      <c r="G507">
        <f>H507/60</f>
        <v/>
      </c>
      <c r="H507">
        <f>MEDIAN(I505,I506,I507,I508,I509)</f>
        <v/>
      </c>
      <c r="I507" t="n">
        <v>63</v>
      </c>
      <c r="J507">
        <f>H507-F507</f>
        <v/>
      </c>
      <c r="K507">
        <f>ABS(J507)</f>
        <v/>
      </c>
      <c r="L507">
        <f>K507/F507*100</f>
        <v/>
      </c>
    </row>
    <row r="508">
      <c r="A508" t="inlineStr">
        <is>
          <t>subject07</t>
        </is>
      </c>
      <c r="B508" t="n">
        <v>12</v>
      </c>
      <c r="C508" t="n">
        <v>55</v>
      </c>
      <c r="D508" t="n">
        <v>75</v>
      </c>
      <c r="E508" t="n">
        <v>1.1111</v>
      </c>
      <c r="F508" t="n">
        <v>66.66</v>
      </c>
      <c r="G508">
        <f>H508/60</f>
        <v/>
      </c>
      <c r="H508">
        <f>MEDIAN(I506,I507,I508,I509,I510)</f>
        <v/>
      </c>
      <c r="I508" t="n">
        <v>63</v>
      </c>
      <c r="J508">
        <f>H508-F508</f>
        <v/>
      </c>
      <c r="K508">
        <f>ABS(J508)</f>
        <v/>
      </c>
      <c r="L508">
        <f>K508/F508*100</f>
        <v/>
      </c>
    </row>
    <row r="509">
      <c r="A509" t="inlineStr">
        <is>
          <t>subject07</t>
        </is>
      </c>
      <c r="B509" t="n">
        <v>13</v>
      </c>
      <c r="C509" t="n">
        <v>60</v>
      </c>
      <c r="D509" t="n">
        <v>80</v>
      </c>
      <c r="E509" t="n">
        <v>1.0959</v>
      </c>
      <c r="F509" t="n">
        <v>65.75</v>
      </c>
      <c r="G509">
        <f>H509/60</f>
        <v/>
      </c>
      <c r="H509">
        <f>MEDIAN(I507,I508,I509,I510,I511)</f>
        <v/>
      </c>
      <c r="I509" t="n">
        <v>66</v>
      </c>
      <c r="J509">
        <f>H509-F509</f>
        <v/>
      </c>
      <c r="K509">
        <f>ABS(J509)</f>
        <v/>
      </c>
      <c r="L509">
        <f>K509/F509*100</f>
        <v/>
      </c>
    </row>
    <row r="510">
      <c r="A510" t="inlineStr">
        <is>
          <t>subject07</t>
        </is>
      </c>
      <c r="B510" t="n">
        <v>14</v>
      </c>
      <c r="C510" t="n">
        <v>65</v>
      </c>
      <c r="D510" t="n">
        <v>85</v>
      </c>
      <c r="E510" t="n">
        <v>1.1165</v>
      </c>
      <c r="F510" t="n">
        <v>66.98999999999999</v>
      </c>
      <c r="G510">
        <f>H510/60</f>
        <v/>
      </c>
      <c r="H510">
        <f>MEDIAN(I508,I509,I510,I511,I512)</f>
        <v/>
      </c>
      <c r="I510" t="n">
        <v>66</v>
      </c>
      <c r="J510">
        <f>H510-F510</f>
        <v/>
      </c>
      <c r="K510">
        <f>ABS(J510)</f>
        <v/>
      </c>
      <c r="L510">
        <f>K510/F510*100</f>
        <v/>
      </c>
    </row>
    <row r="511">
      <c r="A511" t="inlineStr">
        <is>
          <t>subject07</t>
        </is>
      </c>
      <c r="B511" t="n">
        <v>15</v>
      </c>
      <c r="C511" t="n">
        <v>70</v>
      </c>
      <c r="D511" t="n">
        <v>90</v>
      </c>
      <c r="E511" t="n">
        <v>1.1184</v>
      </c>
      <c r="F511" t="n">
        <v>67.09999999999999</v>
      </c>
      <c r="G511">
        <f>H511/60</f>
        <v/>
      </c>
      <c r="H511">
        <f>MEDIAN(I509,I510,I511,I512,I513)</f>
        <v/>
      </c>
      <c r="I511" t="n">
        <v>60</v>
      </c>
      <c r="J511">
        <f>H511-F511</f>
        <v/>
      </c>
      <c r="K511">
        <f>ABS(J511)</f>
        <v/>
      </c>
      <c r="L511">
        <f>K511/F511*100</f>
        <v/>
      </c>
    </row>
    <row r="512">
      <c r="A512" t="inlineStr">
        <is>
          <t>subject07</t>
        </is>
      </c>
      <c r="B512" t="n">
        <v>16</v>
      </c>
      <c r="C512" t="n">
        <v>75</v>
      </c>
      <c r="D512" t="n">
        <v>95</v>
      </c>
      <c r="E512" t="n">
        <v>1.1023</v>
      </c>
      <c r="F512" t="n">
        <v>66.14</v>
      </c>
      <c r="G512">
        <f>H512/60</f>
        <v/>
      </c>
      <c r="H512">
        <f>MEDIAN(I510,I511,I512,I513,I514)</f>
        <v/>
      </c>
      <c r="I512" t="n">
        <v>66</v>
      </c>
      <c r="J512">
        <f>H512-F512</f>
        <v/>
      </c>
      <c r="K512">
        <f>ABS(J512)</f>
        <v/>
      </c>
      <c r="L512">
        <f>K512/F512*100</f>
        <v/>
      </c>
    </row>
    <row r="513">
      <c r="A513" t="inlineStr">
        <is>
          <t>subject07</t>
        </is>
      </c>
      <c r="B513" t="n">
        <v>17</v>
      </c>
      <c r="C513" t="n">
        <v>80</v>
      </c>
      <c r="D513" t="n">
        <v>100</v>
      </c>
      <c r="E513" t="n">
        <v>1.1139</v>
      </c>
      <c r="F513" t="n">
        <v>66.84</v>
      </c>
      <c r="G513">
        <f>H513/60</f>
        <v/>
      </c>
      <c r="H513">
        <f>MEDIAN(I511,I512,I513,I514,I515)</f>
        <v/>
      </c>
      <c r="I513" t="n">
        <v>66</v>
      </c>
      <c r="J513">
        <f>H513-F513</f>
        <v/>
      </c>
      <c r="K513">
        <f>ABS(J513)</f>
        <v/>
      </c>
      <c r="L513">
        <f>K513/F513*100</f>
        <v/>
      </c>
    </row>
    <row r="514">
      <c r="A514" t="inlineStr">
        <is>
          <t>subject07</t>
        </is>
      </c>
      <c r="B514" t="n">
        <v>18</v>
      </c>
      <c r="C514" t="n">
        <v>85</v>
      </c>
      <c r="D514" t="n">
        <v>105</v>
      </c>
      <c r="E514" t="n">
        <v>1.1028</v>
      </c>
      <c r="F514" t="n">
        <v>66.17</v>
      </c>
      <c r="G514">
        <f>H514/60</f>
        <v/>
      </c>
      <c r="H514">
        <f>MEDIAN(I512,I513,I514,I515,I516)</f>
        <v/>
      </c>
      <c r="I514" t="n">
        <v>66</v>
      </c>
      <c r="J514">
        <f>H514-F514</f>
        <v/>
      </c>
      <c r="K514">
        <f>ABS(J514)</f>
        <v/>
      </c>
      <c r="L514">
        <f>K514/F514*100</f>
        <v/>
      </c>
    </row>
    <row r="515">
      <c r="A515" t="inlineStr">
        <is>
          <t>subject07</t>
        </is>
      </c>
      <c r="B515" t="n">
        <v>19</v>
      </c>
      <c r="C515" t="n">
        <v>90</v>
      </c>
      <c r="D515" t="n">
        <v>110</v>
      </c>
      <c r="E515" t="n">
        <v>1.0854</v>
      </c>
      <c r="F515" t="n">
        <v>65.12</v>
      </c>
      <c r="G515">
        <f>H515/60</f>
        <v/>
      </c>
      <c r="H515">
        <f>MEDIAN(I513,I514,I515,I516,I517)</f>
        <v/>
      </c>
      <c r="I515" t="n">
        <v>57</v>
      </c>
      <c r="J515">
        <f>H515-F515</f>
        <v/>
      </c>
      <c r="K515">
        <f>ABS(J515)</f>
        <v/>
      </c>
      <c r="L515">
        <f>K515/F515*100</f>
        <v/>
      </c>
    </row>
    <row r="516">
      <c r="A516" t="inlineStr">
        <is>
          <t>subject07</t>
        </is>
      </c>
      <c r="B516" t="n">
        <v>20</v>
      </c>
      <c r="C516" t="n">
        <v>95</v>
      </c>
      <c r="D516" t="n">
        <v>115</v>
      </c>
      <c r="E516" t="n">
        <v>1.0927</v>
      </c>
      <c r="F516" t="n">
        <v>65.56</v>
      </c>
      <c r="G516">
        <f>H516/60</f>
        <v/>
      </c>
      <c r="H516">
        <f>MEDIAN(I514,I515,I516,I517,I518)</f>
        <v/>
      </c>
      <c r="I516" t="n">
        <v>102</v>
      </c>
      <c r="J516">
        <f>H516-F516</f>
        <v/>
      </c>
      <c r="K516">
        <f>ABS(J516)</f>
        <v/>
      </c>
      <c r="L516">
        <f>K516/F516*100</f>
        <v/>
      </c>
    </row>
    <row r="517">
      <c r="A517" t="inlineStr">
        <is>
          <t>subject07</t>
        </is>
      </c>
      <c r="B517" t="n">
        <v>21</v>
      </c>
      <c r="C517" t="n">
        <v>100</v>
      </c>
      <c r="D517" t="n">
        <v>120</v>
      </c>
      <c r="E517" t="n">
        <v>1.0868</v>
      </c>
      <c r="F517" t="n">
        <v>65.20999999999999</v>
      </c>
      <c r="G517">
        <f>H517/60</f>
        <v/>
      </c>
      <c r="H517">
        <f>MEDIAN(I515,I516,I517,I518,I519)</f>
        <v/>
      </c>
      <c r="I517" t="n">
        <v>72</v>
      </c>
      <c r="J517">
        <f>H517-F517</f>
        <v/>
      </c>
      <c r="K517">
        <f>ABS(J517)</f>
        <v/>
      </c>
      <c r="L517">
        <f>K517/F517*100</f>
        <v/>
      </c>
    </row>
    <row r="518">
      <c r="A518" t="inlineStr">
        <is>
          <t>subject07</t>
        </is>
      </c>
      <c r="B518" t="n">
        <v>22</v>
      </c>
      <c r="C518" t="n">
        <v>105</v>
      </c>
      <c r="D518" t="n">
        <v>125</v>
      </c>
      <c r="E518" t="n">
        <v>1.0924</v>
      </c>
      <c r="F518" t="n">
        <v>65.55</v>
      </c>
      <c r="G518">
        <f>H518/60</f>
        <v/>
      </c>
      <c r="H518">
        <f>MEDIAN(I516,I517,I518,I519,I520)</f>
        <v/>
      </c>
      <c r="I518" t="n">
        <v>69</v>
      </c>
      <c r="J518">
        <f>H518-F518</f>
        <v/>
      </c>
      <c r="K518">
        <f>ABS(J518)</f>
        <v/>
      </c>
      <c r="L518">
        <f>K518/F518*100</f>
        <v/>
      </c>
    </row>
    <row r="519">
      <c r="A519" t="inlineStr">
        <is>
          <t>subject07</t>
        </is>
      </c>
      <c r="B519" t="n">
        <v>23</v>
      </c>
      <c r="C519" t="n">
        <v>110</v>
      </c>
      <c r="D519" t="n">
        <v>130</v>
      </c>
      <c r="E519" t="n">
        <v>1.1115</v>
      </c>
      <c r="F519" t="n">
        <v>66.69</v>
      </c>
      <c r="G519">
        <f>H519/60</f>
        <v/>
      </c>
      <c r="H519">
        <f>MEDIAN(I517,I518,I519,I520,I521)</f>
        <v/>
      </c>
      <c r="I519" t="n">
        <v>66</v>
      </c>
      <c r="J519">
        <f>H519-F519</f>
        <v/>
      </c>
      <c r="K519">
        <f>ABS(J519)</f>
        <v/>
      </c>
      <c r="L519">
        <f>K519/F519*100</f>
        <v/>
      </c>
    </row>
    <row r="520">
      <c r="A520" t="inlineStr">
        <is>
          <t>subject07</t>
        </is>
      </c>
      <c r="B520" t="n">
        <v>24</v>
      </c>
      <c r="C520" t="n">
        <v>115</v>
      </c>
      <c r="D520" t="n">
        <v>135</v>
      </c>
      <c r="E520" t="n">
        <v>1.1274</v>
      </c>
      <c r="F520" t="n">
        <v>67.64</v>
      </c>
      <c r="G520">
        <f>H520/60</f>
        <v/>
      </c>
      <c r="H520">
        <f>MEDIAN(I518,I519,I520,I521,I522)</f>
        <v/>
      </c>
      <c r="I520" t="n">
        <v>90</v>
      </c>
      <c r="J520">
        <f>H520-F520</f>
        <v/>
      </c>
      <c r="K520">
        <f>ABS(J520)</f>
        <v/>
      </c>
      <c r="L520">
        <f>K520/F520*100</f>
        <v/>
      </c>
    </row>
    <row r="521">
      <c r="A521" t="inlineStr">
        <is>
          <t>subject07</t>
        </is>
      </c>
      <c r="B521" t="n">
        <v>25</v>
      </c>
      <c r="C521" t="n">
        <v>120</v>
      </c>
      <c r="D521" t="n">
        <v>140</v>
      </c>
      <c r="E521" t="n">
        <v>1.1554</v>
      </c>
      <c r="F521" t="n">
        <v>69.31999999999999</v>
      </c>
      <c r="G521">
        <f>H521/60</f>
        <v/>
      </c>
      <c r="H521">
        <f>MEDIAN(I519,I520,I521,I522,I523)</f>
        <v/>
      </c>
      <c r="I521" t="n">
        <v>75</v>
      </c>
      <c r="J521">
        <f>H521-F521</f>
        <v/>
      </c>
      <c r="K521">
        <f>ABS(J521)</f>
        <v/>
      </c>
      <c r="L521">
        <f>K521/F521*100</f>
        <v/>
      </c>
    </row>
    <row r="522">
      <c r="A522" t="inlineStr">
        <is>
          <t>subject07</t>
        </is>
      </c>
      <c r="B522" t="n">
        <v>26</v>
      </c>
      <c r="C522" t="n">
        <v>125</v>
      </c>
      <c r="D522" t="n">
        <v>145</v>
      </c>
      <c r="E522" t="n">
        <v>1.1461</v>
      </c>
      <c r="F522" t="n">
        <v>68.76000000000001</v>
      </c>
      <c r="G522">
        <f>H522/60</f>
        <v/>
      </c>
      <c r="H522">
        <f>MEDIAN(I520,I521,I522,I523,I524)</f>
        <v/>
      </c>
      <c r="I522" t="n">
        <v>72</v>
      </c>
      <c r="J522">
        <f>H522-F522</f>
        <v/>
      </c>
      <c r="K522">
        <f>ABS(J522)</f>
        <v/>
      </c>
      <c r="L522">
        <f>K522/F522*100</f>
        <v/>
      </c>
    </row>
    <row r="523">
      <c r="A523" t="inlineStr">
        <is>
          <t>subject07</t>
        </is>
      </c>
      <c r="B523" t="n">
        <v>27</v>
      </c>
      <c r="C523" t="n">
        <v>130</v>
      </c>
      <c r="D523" t="n">
        <v>150</v>
      </c>
      <c r="E523" t="n">
        <v>1.1549</v>
      </c>
      <c r="F523" t="n">
        <v>69.3</v>
      </c>
      <c r="G523">
        <f>H523/60</f>
        <v/>
      </c>
      <c r="H523">
        <f>MEDIAN(I521,I522,I523,I524,I525)</f>
        <v/>
      </c>
      <c r="I523" t="n">
        <v>63</v>
      </c>
      <c r="J523">
        <f>H523-F523</f>
        <v/>
      </c>
      <c r="K523">
        <f>ABS(J523)</f>
        <v/>
      </c>
      <c r="L523">
        <f>K523/F523*100</f>
        <v/>
      </c>
    </row>
    <row r="524">
      <c r="A524" t="inlineStr">
        <is>
          <t>subject07</t>
        </is>
      </c>
      <c r="B524" t="n">
        <v>28</v>
      </c>
      <c r="C524" t="n">
        <v>135</v>
      </c>
      <c r="D524" t="n">
        <v>155</v>
      </c>
      <c r="E524" t="n">
        <v>1.1699</v>
      </c>
      <c r="F524" t="n">
        <v>70.2</v>
      </c>
      <c r="G524">
        <f>H524/60</f>
        <v/>
      </c>
      <c r="H524">
        <f>MEDIAN(I522,I523,I524,I525,I526)</f>
        <v/>
      </c>
      <c r="I524" t="n">
        <v>66</v>
      </c>
      <c r="J524">
        <f>H524-F524</f>
        <v/>
      </c>
      <c r="K524">
        <f>ABS(J524)</f>
        <v/>
      </c>
      <c r="L524">
        <f>K524/F524*100</f>
        <v/>
      </c>
    </row>
    <row r="525">
      <c r="A525" t="inlineStr">
        <is>
          <t>subject07</t>
        </is>
      </c>
      <c r="B525" t="n">
        <v>29</v>
      </c>
      <c r="C525" t="n">
        <v>140</v>
      </c>
      <c r="D525" t="n">
        <v>160</v>
      </c>
      <c r="E525" t="n">
        <v>1.1549</v>
      </c>
      <c r="F525" t="n">
        <v>69.29000000000001</v>
      </c>
      <c r="G525">
        <f>H525/60</f>
        <v/>
      </c>
      <c r="H525">
        <f>MEDIAN(I523,I524,I525,I526,I527)</f>
        <v/>
      </c>
      <c r="I525" t="n">
        <v>81</v>
      </c>
      <c r="J525">
        <f>H525-F525</f>
        <v/>
      </c>
      <c r="K525">
        <f>ABS(J525)</f>
        <v/>
      </c>
      <c r="L525">
        <f>K525/F525*100</f>
        <v/>
      </c>
    </row>
    <row r="526">
      <c r="A526" t="inlineStr">
        <is>
          <t>subject07</t>
        </is>
      </c>
      <c r="B526" t="n">
        <v>30</v>
      </c>
      <c r="C526" t="n">
        <v>145</v>
      </c>
      <c r="D526" t="n">
        <v>165</v>
      </c>
      <c r="E526" t="n">
        <v>1.1754</v>
      </c>
      <c r="F526" t="n">
        <v>70.53</v>
      </c>
      <c r="G526">
        <f>H526/60</f>
        <v/>
      </c>
      <c r="H526">
        <f>MEDIAN(I524,I525,I526,I527,I528)</f>
        <v/>
      </c>
      <c r="I526" t="n">
        <v>78</v>
      </c>
      <c r="J526">
        <f>H526-F526</f>
        <v/>
      </c>
      <c r="K526">
        <f>ABS(J526)</f>
        <v/>
      </c>
      <c r="L526">
        <f>K526/F526*100</f>
        <v/>
      </c>
    </row>
    <row r="527">
      <c r="A527" t="inlineStr">
        <is>
          <t>subject07</t>
        </is>
      </c>
      <c r="B527" t="n">
        <v>31</v>
      </c>
      <c r="C527" t="n">
        <v>150</v>
      </c>
      <c r="D527" t="n">
        <v>170</v>
      </c>
      <c r="E527" t="n">
        <v>1.1795</v>
      </c>
      <c r="F527" t="n">
        <v>70.77</v>
      </c>
      <c r="G527">
        <f>H527/60</f>
        <v/>
      </c>
      <c r="H527">
        <f>MEDIAN(I525,I526,I527,I528,I529)</f>
        <v/>
      </c>
      <c r="I527" t="n">
        <v>72</v>
      </c>
      <c r="J527">
        <f>H527-F527</f>
        <v/>
      </c>
      <c r="K527">
        <f>ABS(J527)</f>
        <v/>
      </c>
      <c r="L527">
        <f>K527/F527*100</f>
        <v/>
      </c>
    </row>
    <row r="528">
      <c r="A528" t="inlineStr">
        <is>
          <t>subject07</t>
        </is>
      </c>
      <c r="B528" t="n">
        <v>32</v>
      </c>
      <c r="C528" t="n">
        <v>155</v>
      </c>
      <c r="D528" t="n">
        <v>175</v>
      </c>
      <c r="E528" t="n">
        <v>1.1683</v>
      </c>
      <c r="F528" t="n">
        <v>70.09999999999999</v>
      </c>
      <c r="G528">
        <f>H528/60</f>
        <v/>
      </c>
      <c r="H528">
        <f>MEDIAN(I526,I527,I528,I529,I530)</f>
        <v/>
      </c>
      <c r="I528" t="n">
        <v>72</v>
      </c>
      <c r="J528">
        <f>H528-F528</f>
        <v/>
      </c>
      <c r="K528">
        <f>ABS(J528)</f>
        <v/>
      </c>
      <c r="L528">
        <f>K528/F528*100</f>
        <v/>
      </c>
    </row>
    <row r="529">
      <c r="A529" t="inlineStr">
        <is>
          <t>subject07</t>
        </is>
      </c>
      <c r="B529" t="n">
        <v>33</v>
      </c>
      <c r="C529" t="n">
        <v>160</v>
      </c>
      <c r="D529" t="n">
        <v>180</v>
      </c>
      <c r="E529" t="n">
        <v>1.1564</v>
      </c>
      <c r="F529" t="n">
        <v>69.39</v>
      </c>
      <c r="G529">
        <f>H529/60</f>
        <v/>
      </c>
      <c r="H529">
        <f>MEDIAN(I527,I528,I529,I530,I531)</f>
        <v/>
      </c>
      <c r="I529" t="n">
        <v>90</v>
      </c>
      <c r="J529">
        <f>H529-F529</f>
        <v/>
      </c>
      <c r="K529">
        <f>ABS(J529)</f>
        <v/>
      </c>
      <c r="L529">
        <f>K529/F529*100</f>
        <v/>
      </c>
    </row>
    <row r="530">
      <c r="A530" t="inlineStr">
        <is>
          <t>subject07</t>
        </is>
      </c>
      <c r="B530" t="n">
        <v>34</v>
      </c>
      <c r="C530" t="n">
        <v>165</v>
      </c>
      <c r="D530" t="n">
        <v>185</v>
      </c>
      <c r="E530" t="n">
        <v>1.1685</v>
      </c>
      <c r="F530" t="n">
        <v>70.11</v>
      </c>
      <c r="G530">
        <f>H530/60</f>
        <v/>
      </c>
      <c r="H530">
        <f>MEDIAN(I528,I529,I530,I531,I532)</f>
        <v/>
      </c>
      <c r="I530" t="n">
        <v>93</v>
      </c>
      <c r="J530">
        <f>H530-F530</f>
        <v/>
      </c>
      <c r="K530">
        <f>ABS(J530)</f>
        <v/>
      </c>
      <c r="L530">
        <f>K530/F530*100</f>
        <v/>
      </c>
    </row>
    <row r="531">
      <c r="A531" t="inlineStr">
        <is>
          <t>subject07</t>
        </is>
      </c>
      <c r="B531" t="n">
        <v>35</v>
      </c>
      <c r="C531" t="n">
        <v>170</v>
      </c>
      <c r="D531" t="n">
        <v>190</v>
      </c>
      <c r="E531" t="n">
        <v>1.1472</v>
      </c>
      <c r="F531" t="n">
        <v>68.83</v>
      </c>
      <c r="G531">
        <f>H531/60</f>
        <v/>
      </c>
      <c r="H531">
        <f>MEDIAN(I529,I530,I531,I532,I533)</f>
        <v/>
      </c>
      <c r="I531" t="n">
        <v>93</v>
      </c>
      <c r="J531">
        <f>H531-F531</f>
        <v/>
      </c>
      <c r="K531">
        <f>ABS(J531)</f>
        <v/>
      </c>
      <c r="L531">
        <f>K531/F531*100</f>
        <v/>
      </c>
    </row>
    <row r="532">
      <c r="A532" t="inlineStr">
        <is>
          <t>subject07</t>
        </is>
      </c>
      <c r="B532" t="n">
        <v>36</v>
      </c>
      <c r="C532" t="n">
        <v>175</v>
      </c>
      <c r="D532" t="n">
        <v>195</v>
      </c>
      <c r="E532" t="n">
        <v>1.13</v>
      </c>
      <c r="F532" t="n">
        <v>67.8</v>
      </c>
      <c r="G532">
        <f>H532/60</f>
        <v/>
      </c>
      <c r="H532">
        <f>MEDIAN(I530,I531,I532,I533,I534)</f>
        <v/>
      </c>
      <c r="I532" t="n">
        <v>90</v>
      </c>
      <c r="J532">
        <f>H532-F532</f>
        <v/>
      </c>
      <c r="K532">
        <f>ABS(J532)</f>
        <v/>
      </c>
      <c r="L532">
        <f>K532/F532*100</f>
        <v/>
      </c>
    </row>
    <row r="533">
      <c r="A533" t="inlineStr">
        <is>
          <t>subject07</t>
        </is>
      </c>
      <c r="B533" t="n">
        <v>37</v>
      </c>
      <c r="C533" t="n">
        <v>180</v>
      </c>
      <c r="D533" t="n">
        <v>200</v>
      </c>
      <c r="E533" t="n">
        <v>1.1198</v>
      </c>
      <c r="F533" t="n">
        <v>67.19</v>
      </c>
      <c r="G533">
        <f>H533/60</f>
        <v/>
      </c>
      <c r="H533">
        <f>MEDIAN(I531,I532,I533,I534,I535)</f>
        <v/>
      </c>
      <c r="I533" t="n">
        <v>66</v>
      </c>
      <c r="J533">
        <f>H533-F533</f>
        <v/>
      </c>
      <c r="K533">
        <f>ABS(J533)</f>
        <v/>
      </c>
      <c r="L533">
        <f>K533/F533*100</f>
        <v/>
      </c>
    </row>
    <row r="534">
      <c r="A534" t="inlineStr">
        <is>
          <t>subject07</t>
        </is>
      </c>
      <c r="B534" t="n">
        <v>38</v>
      </c>
      <c r="C534" t="n">
        <v>185</v>
      </c>
      <c r="D534" t="n">
        <v>205</v>
      </c>
      <c r="E534" t="n">
        <v>1.0839</v>
      </c>
      <c r="F534" t="n">
        <v>65.03</v>
      </c>
      <c r="G534">
        <f>H534/60</f>
        <v/>
      </c>
      <c r="H534">
        <f>MEDIAN(I532,I533,I534,I535,I536)</f>
        <v/>
      </c>
      <c r="I534" t="n">
        <v>66</v>
      </c>
      <c r="J534">
        <f>H534-F534</f>
        <v/>
      </c>
      <c r="K534">
        <f>ABS(J534)</f>
        <v/>
      </c>
      <c r="L534">
        <f>K534/F534*100</f>
        <v/>
      </c>
    </row>
    <row r="535">
      <c r="A535" t="inlineStr">
        <is>
          <t>subject07</t>
        </is>
      </c>
      <c r="B535" t="n">
        <v>39</v>
      </c>
      <c r="C535" t="n">
        <v>190</v>
      </c>
      <c r="D535" t="n">
        <v>210</v>
      </c>
      <c r="E535" t="n">
        <v>1.0765</v>
      </c>
      <c r="F535" t="n">
        <v>64.59</v>
      </c>
      <c r="G535">
        <f>H535/60</f>
        <v/>
      </c>
      <c r="H535">
        <f>MEDIAN(I533,I534,I535,I536,I537)</f>
        <v/>
      </c>
      <c r="I535" t="n">
        <v>63</v>
      </c>
      <c r="J535">
        <f>H535-F535</f>
        <v/>
      </c>
      <c r="K535">
        <f>ABS(J535)</f>
        <v/>
      </c>
      <c r="L535">
        <f>K535/F535*100</f>
        <v/>
      </c>
    </row>
    <row r="536">
      <c r="A536" t="inlineStr">
        <is>
          <t>subject07</t>
        </is>
      </c>
      <c r="B536" t="n">
        <v>40</v>
      </c>
      <c r="C536" t="n">
        <v>195</v>
      </c>
      <c r="D536" t="n">
        <v>215</v>
      </c>
      <c r="E536" t="n">
        <v>1.0718</v>
      </c>
      <c r="F536" t="n">
        <v>64.31</v>
      </c>
      <c r="G536">
        <f>H536/60</f>
        <v/>
      </c>
      <c r="H536">
        <f>MEDIAN(I534,I535,I536,I537,I538)</f>
        <v/>
      </c>
      <c r="I536" t="n">
        <v>66</v>
      </c>
      <c r="J536">
        <f>H536-F536</f>
        <v/>
      </c>
      <c r="K536">
        <f>ABS(J536)</f>
        <v/>
      </c>
      <c r="L536">
        <f>K536/F536*100</f>
        <v/>
      </c>
    </row>
    <row r="537">
      <c r="A537" t="inlineStr">
        <is>
          <t>subject07</t>
        </is>
      </c>
      <c r="B537" t="n">
        <v>41</v>
      </c>
      <c r="C537" t="n">
        <v>200</v>
      </c>
      <c r="D537" t="n">
        <v>220</v>
      </c>
      <c r="E537" t="n">
        <v>1.0841</v>
      </c>
      <c r="F537" t="n">
        <v>65.05</v>
      </c>
      <c r="G537">
        <f>H537/60</f>
        <v/>
      </c>
      <c r="H537">
        <f>MEDIAN(I535,I536,I537,I538,I539)</f>
        <v/>
      </c>
      <c r="I537" t="n">
        <v>57</v>
      </c>
      <c r="J537">
        <f>H537-F537</f>
        <v/>
      </c>
      <c r="K537">
        <f>ABS(J537)</f>
        <v/>
      </c>
      <c r="L537">
        <f>K537/F537*100</f>
        <v/>
      </c>
    </row>
    <row r="538">
      <c r="A538" t="inlineStr">
        <is>
          <t>subject07</t>
        </is>
      </c>
      <c r="B538" t="n">
        <v>42</v>
      </c>
      <c r="C538" t="n">
        <v>205</v>
      </c>
      <c r="D538" t="n">
        <v>225</v>
      </c>
      <c r="E538" t="n">
        <v>1.1014</v>
      </c>
      <c r="F538" t="n">
        <v>66.08</v>
      </c>
      <c r="G538">
        <f>H538/60</f>
        <v/>
      </c>
      <c r="H538">
        <f>MEDIAN(I536,I537,I538,I539,I540)</f>
        <v/>
      </c>
      <c r="I538" t="n">
        <v>105</v>
      </c>
      <c r="J538">
        <f>H538-F538</f>
        <v/>
      </c>
      <c r="K538">
        <f>ABS(J538)</f>
        <v/>
      </c>
      <c r="L538">
        <f>K538/F538*100</f>
        <v/>
      </c>
    </row>
    <row r="539">
      <c r="A539" t="inlineStr">
        <is>
          <t>subject07</t>
        </is>
      </c>
      <c r="B539" t="n">
        <v>43</v>
      </c>
      <c r="C539" t="n">
        <v>210</v>
      </c>
      <c r="D539" t="n">
        <v>230</v>
      </c>
      <c r="E539" t="n">
        <v>1.1049</v>
      </c>
      <c r="F539" t="n">
        <v>66.3</v>
      </c>
      <c r="G539">
        <f>H539/60</f>
        <v/>
      </c>
      <c r="H539">
        <f>MEDIAN(I537,I538,I539,I540,I541)</f>
        <v/>
      </c>
      <c r="I539" t="n">
        <v>75</v>
      </c>
      <c r="J539">
        <f>H539-F539</f>
        <v/>
      </c>
      <c r="K539">
        <f>ABS(J539)</f>
        <v/>
      </c>
      <c r="L539">
        <f>K539/F539*100</f>
        <v/>
      </c>
    </row>
    <row r="540">
      <c r="A540" t="inlineStr">
        <is>
          <t>subject07</t>
        </is>
      </c>
      <c r="B540" t="n">
        <v>44</v>
      </c>
      <c r="C540" t="n">
        <v>215</v>
      </c>
      <c r="D540" t="n">
        <v>235</v>
      </c>
      <c r="E540" t="n">
        <v>1.1047</v>
      </c>
      <c r="F540" t="n">
        <v>66.28</v>
      </c>
      <c r="G540">
        <f>H540/60</f>
        <v/>
      </c>
      <c r="H540">
        <f>MEDIAN(I538,I539,I540,I541,I542)</f>
        <v/>
      </c>
      <c r="I540" t="n">
        <v>84</v>
      </c>
      <c r="J540">
        <f>H540-F540</f>
        <v/>
      </c>
      <c r="K540">
        <f>ABS(J540)</f>
        <v/>
      </c>
      <c r="L540">
        <f>K540/F540*100</f>
        <v/>
      </c>
    </row>
    <row r="541">
      <c r="A541" t="inlineStr">
        <is>
          <t>subject07</t>
        </is>
      </c>
      <c r="B541" t="n">
        <v>45</v>
      </c>
      <c r="C541" t="n">
        <v>220</v>
      </c>
      <c r="D541" t="n">
        <v>240</v>
      </c>
      <c r="E541" t="n">
        <v>1.1081</v>
      </c>
      <c r="F541" t="n">
        <v>66.48999999999999</v>
      </c>
      <c r="G541">
        <f>H541/60</f>
        <v/>
      </c>
      <c r="H541">
        <f>MEDIAN(I539,I540,I541,I542,I543)</f>
        <v/>
      </c>
      <c r="I541" t="n">
        <v>63</v>
      </c>
      <c r="J541">
        <f>H541-F541</f>
        <v/>
      </c>
      <c r="K541">
        <f>ABS(J541)</f>
        <v/>
      </c>
      <c r="L541">
        <f>K541/F541*100</f>
        <v/>
      </c>
    </row>
    <row r="542">
      <c r="A542" t="inlineStr">
        <is>
          <t>subject07</t>
        </is>
      </c>
      <c r="B542" t="n">
        <v>46</v>
      </c>
      <c r="C542" t="n">
        <v>225</v>
      </c>
      <c r="D542" t="n">
        <v>245</v>
      </c>
      <c r="E542" t="n">
        <v>1.1039</v>
      </c>
      <c r="F542" t="n">
        <v>66.23999999999999</v>
      </c>
      <c r="G542">
        <f>H542/60</f>
        <v/>
      </c>
      <c r="H542">
        <f>MEDIAN(I540,I541,I542,I543,I544)</f>
        <v/>
      </c>
      <c r="I542" t="n">
        <v>66</v>
      </c>
      <c r="J542">
        <f>H542-F542</f>
        <v/>
      </c>
      <c r="K542">
        <f>ABS(J542)</f>
        <v/>
      </c>
      <c r="L542">
        <f>K542/F542*100</f>
        <v/>
      </c>
    </row>
    <row r="543">
      <c r="A543" t="inlineStr">
        <is>
          <t>subject07</t>
        </is>
      </c>
      <c r="B543" t="n">
        <v>47</v>
      </c>
      <c r="C543" t="n">
        <v>230</v>
      </c>
      <c r="D543" t="n">
        <v>250</v>
      </c>
      <c r="E543" t="n">
        <v>1.0983</v>
      </c>
      <c r="F543" t="n">
        <v>65.90000000000001</v>
      </c>
      <c r="G543">
        <f>H543/60</f>
        <v/>
      </c>
      <c r="H543">
        <f>MEDIAN(I541,I542,I543,I544,I545)</f>
        <v/>
      </c>
      <c r="I543" t="n">
        <v>66</v>
      </c>
      <c r="J543">
        <f>H543-F543</f>
        <v/>
      </c>
      <c r="K543">
        <f>ABS(J543)</f>
        <v/>
      </c>
      <c r="L543">
        <f>K543/F543*100</f>
        <v/>
      </c>
    </row>
    <row r="544">
      <c r="A544" t="inlineStr">
        <is>
          <t>subject07</t>
        </is>
      </c>
      <c r="B544" t="n">
        <v>48</v>
      </c>
      <c r="C544" t="n">
        <v>235</v>
      </c>
      <c r="D544" t="n">
        <v>255</v>
      </c>
      <c r="E544" t="n">
        <v>1.0884</v>
      </c>
      <c r="F544" t="n">
        <v>65.3</v>
      </c>
      <c r="G544">
        <f>H544/60</f>
        <v/>
      </c>
      <c r="H544">
        <f>MEDIAN(I542,I543,I544,I545,I546)</f>
        <v/>
      </c>
      <c r="I544" t="n">
        <v>96</v>
      </c>
      <c r="J544">
        <f>H544-F544</f>
        <v/>
      </c>
      <c r="K544">
        <f>ABS(J544)</f>
        <v/>
      </c>
      <c r="L544">
        <f>K544/F544*100</f>
        <v/>
      </c>
    </row>
    <row r="545">
      <c r="A545" t="inlineStr">
        <is>
          <t>subject07</t>
        </is>
      </c>
      <c r="B545" t="n">
        <v>49</v>
      </c>
      <c r="C545" t="n">
        <v>240</v>
      </c>
      <c r="D545" t="n">
        <v>260</v>
      </c>
      <c r="E545" t="n">
        <v>1.071</v>
      </c>
      <c r="F545" t="n">
        <v>64.26000000000001</v>
      </c>
      <c r="G545">
        <f>H545/60</f>
        <v/>
      </c>
      <c r="H545">
        <f>MEDIAN(I543,I544,I545,I546,I547)</f>
        <v/>
      </c>
      <c r="I545" t="n">
        <v>54</v>
      </c>
      <c r="J545">
        <f>H545-F545</f>
        <v/>
      </c>
      <c r="K545">
        <f>ABS(J545)</f>
        <v/>
      </c>
      <c r="L545">
        <f>K545/F545*100</f>
        <v/>
      </c>
    </row>
    <row r="546">
      <c r="A546" t="inlineStr">
        <is>
          <t>subject07</t>
        </is>
      </c>
      <c r="B546" t="n">
        <v>50</v>
      </c>
      <c r="C546" t="n">
        <v>245</v>
      </c>
      <c r="D546" t="n">
        <v>265</v>
      </c>
      <c r="E546" t="n">
        <v>1.0609</v>
      </c>
      <c r="F546" t="n">
        <v>63.65</v>
      </c>
      <c r="G546">
        <f>H546/60</f>
        <v/>
      </c>
      <c r="H546">
        <f>MEDIAN(I544,I545,I546,I547,I548)</f>
        <v/>
      </c>
      <c r="I546" t="n">
        <v>75</v>
      </c>
      <c r="J546">
        <f>H546-F546</f>
        <v/>
      </c>
      <c r="K546">
        <f>ABS(J546)</f>
        <v/>
      </c>
      <c r="L546">
        <f>K546/F546*100</f>
        <v/>
      </c>
    </row>
    <row r="547">
      <c r="A547" t="inlineStr">
        <is>
          <t>subject07</t>
        </is>
      </c>
      <c r="B547" t="n">
        <v>51</v>
      </c>
      <c r="C547" t="n">
        <v>250</v>
      </c>
      <c r="D547" t="n">
        <v>270</v>
      </c>
      <c r="E547" t="n">
        <v>1.0667</v>
      </c>
      <c r="F547" t="n">
        <v>64</v>
      </c>
      <c r="G547">
        <f>H547/60</f>
        <v/>
      </c>
      <c r="H547">
        <f>MEDIAN(I545,I546,I547,I548,I549)</f>
        <v/>
      </c>
      <c r="I547" t="n">
        <v>78</v>
      </c>
      <c r="J547">
        <f>H547-F547</f>
        <v/>
      </c>
      <c r="K547">
        <f>ABS(J547)</f>
        <v/>
      </c>
      <c r="L547">
        <f>K547/F547*100</f>
        <v/>
      </c>
    </row>
    <row r="548">
      <c r="A548" t="inlineStr">
        <is>
          <t>subject07</t>
        </is>
      </c>
      <c r="B548" t="n">
        <v>52</v>
      </c>
      <c r="C548" t="n">
        <v>255</v>
      </c>
      <c r="D548" t="n">
        <v>275</v>
      </c>
      <c r="E548" t="n">
        <v>1.0807</v>
      </c>
      <c r="F548" t="n">
        <v>64.84</v>
      </c>
      <c r="G548">
        <f>H548/60</f>
        <v/>
      </c>
      <c r="H548">
        <f>MEDIAN(I546,I547,I548,I549,I550)</f>
        <v/>
      </c>
      <c r="I548" t="n">
        <v>60</v>
      </c>
      <c r="J548">
        <f>H548-F548</f>
        <v/>
      </c>
      <c r="K548">
        <f>ABS(J548)</f>
        <v/>
      </c>
      <c r="L548">
        <f>K548/F548*100</f>
        <v/>
      </c>
    </row>
    <row r="549">
      <c r="A549" t="inlineStr">
        <is>
          <t>subject07</t>
        </is>
      </c>
      <c r="B549" t="n">
        <v>53</v>
      </c>
      <c r="C549" t="n">
        <v>260</v>
      </c>
      <c r="D549" t="n">
        <v>280</v>
      </c>
      <c r="E549" t="n">
        <v>1.093</v>
      </c>
      <c r="F549" t="n">
        <v>65.58</v>
      </c>
      <c r="G549">
        <f>H549/60</f>
        <v/>
      </c>
      <c r="H549">
        <f>MEDIAN(I547,I548,I549,I550,I551)</f>
        <v/>
      </c>
      <c r="I549" t="n">
        <v>51</v>
      </c>
      <c r="J549">
        <f>H549-F549</f>
        <v/>
      </c>
      <c r="K549">
        <f>ABS(J549)</f>
        <v/>
      </c>
      <c r="L549">
        <f>K549/F549*100</f>
        <v/>
      </c>
    </row>
    <row r="550">
      <c r="A550" t="inlineStr">
        <is>
          <t>subject07</t>
        </is>
      </c>
      <c r="B550" t="n">
        <v>54</v>
      </c>
      <c r="C550" t="n">
        <v>265</v>
      </c>
      <c r="D550" t="n">
        <v>285</v>
      </c>
      <c r="E550" t="n">
        <v>1.1016</v>
      </c>
      <c r="F550" t="n">
        <v>66.09999999999999</v>
      </c>
      <c r="G550">
        <f>H550/60</f>
        <v/>
      </c>
      <c r="H550">
        <f>MEDIAN(I548,I549,I550,I551,I552)</f>
        <v/>
      </c>
      <c r="I550" t="n">
        <v>99</v>
      </c>
      <c r="J550">
        <f>H550-F550</f>
        <v/>
      </c>
      <c r="K550">
        <f>ABS(J550)</f>
        <v/>
      </c>
      <c r="L550">
        <f>K550/F550*100</f>
        <v/>
      </c>
    </row>
    <row r="551">
      <c r="A551" t="inlineStr">
        <is>
          <t>subject07</t>
        </is>
      </c>
      <c r="B551" t="n">
        <v>55</v>
      </c>
      <c r="C551" t="n">
        <v>270</v>
      </c>
      <c r="D551" t="n">
        <v>290</v>
      </c>
      <c r="E551" t="n">
        <v>1.0978</v>
      </c>
      <c r="F551" t="n">
        <v>65.87</v>
      </c>
      <c r="G551">
        <f>H551/60</f>
        <v/>
      </c>
      <c r="H551">
        <f>MEDIAN(I549,I550,I551,I552,I553)</f>
        <v/>
      </c>
      <c r="I551" t="n">
        <v>66</v>
      </c>
      <c r="J551">
        <f>H551-F551</f>
        <v/>
      </c>
      <c r="K551">
        <f>ABS(J551)</f>
        <v/>
      </c>
      <c r="L551">
        <f>K551/F551*100</f>
        <v/>
      </c>
    </row>
    <row r="552">
      <c r="A552" t="inlineStr">
        <is>
          <t>subject07</t>
        </is>
      </c>
      <c r="B552" t="n">
        <v>56</v>
      </c>
      <c r="C552" t="n">
        <v>275</v>
      </c>
      <c r="D552" t="n">
        <v>295</v>
      </c>
      <c r="E552" t="n">
        <v>1.0779</v>
      </c>
      <c r="F552" t="n">
        <v>64.68000000000001</v>
      </c>
      <c r="G552">
        <f>H552/60</f>
        <v/>
      </c>
      <c r="H552">
        <f>MEDIAN(I550,I551,I552,I553,I554)</f>
        <v/>
      </c>
      <c r="I552" t="n">
        <v>66</v>
      </c>
      <c r="J552">
        <f>H552-F552</f>
        <v/>
      </c>
      <c r="K552">
        <f>ABS(J552)</f>
        <v/>
      </c>
      <c r="L552">
        <f>K552/F552*100</f>
        <v/>
      </c>
    </row>
    <row r="553">
      <c r="A553" t="inlineStr">
        <is>
          <t>subject07</t>
        </is>
      </c>
      <c r="B553" t="n">
        <v>57</v>
      </c>
      <c r="C553" t="n">
        <v>280</v>
      </c>
      <c r="D553" t="n">
        <v>300</v>
      </c>
      <c r="E553" t="n">
        <v>1.0671</v>
      </c>
      <c r="F553" t="n">
        <v>64.03</v>
      </c>
      <c r="G553">
        <f>H553/60</f>
        <v/>
      </c>
      <c r="H553">
        <f>MEDIAN(I551,I552,I553,I554,I555)</f>
        <v/>
      </c>
      <c r="I553" t="n">
        <v>63</v>
      </c>
      <c r="J553">
        <f>H553-F553</f>
        <v/>
      </c>
      <c r="K553">
        <f>ABS(J553)</f>
        <v/>
      </c>
      <c r="L553">
        <f>K553/F553*100</f>
        <v/>
      </c>
    </row>
    <row r="554">
      <c r="A554" t="inlineStr">
        <is>
          <t>subject07</t>
        </is>
      </c>
      <c r="B554" t="n">
        <v>58</v>
      </c>
      <c r="C554" t="n">
        <v>285</v>
      </c>
      <c r="D554" t="n">
        <v>305</v>
      </c>
      <c r="E554" t="n">
        <v>1.0497</v>
      </c>
      <c r="F554" t="n">
        <v>62.98</v>
      </c>
      <c r="G554">
        <f>H554/60</f>
        <v/>
      </c>
      <c r="H554">
        <f>MEDIAN(I552,I553,I554,I555,I556)</f>
        <v/>
      </c>
      <c r="I554" t="n">
        <v>63</v>
      </c>
      <c r="J554">
        <f>H554-F554</f>
        <v/>
      </c>
      <c r="K554">
        <f>ABS(J554)</f>
        <v/>
      </c>
      <c r="L554">
        <f>K554/F554*100</f>
        <v/>
      </c>
    </row>
    <row r="555">
      <c r="A555" t="inlineStr">
        <is>
          <t>subject07</t>
        </is>
      </c>
      <c r="B555" t="n">
        <v>59</v>
      </c>
      <c r="C555" t="n">
        <v>290</v>
      </c>
      <c r="D555" t="n">
        <v>310</v>
      </c>
      <c r="E555" t="n">
        <v>1.0431</v>
      </c>
      <c r="F555" t="n">
        <v>62.59</v>
      </c>
      <c r="G555">
        <f>H555/60</f>
        <v/>
      </c>
      <c r="H555">
        <f>MEDIAN(I553,I554,I555,I556,I557)</f>
        <v/>
      </c>
      <c r="I555" t="n">
        <v>63</v>
      </c>
      <c r="J555">
        <f>H555-F555</f>
        <v/>
      </c>
      <c r="K555">
        <f>ABS(J555)</f>
        <v/>
      </c>
      <c r="L555">
        <f>K555/F555*100</f>
        <v/>
      </c>
    </row>
    <row r="556">
      <c r="A556" t="inlineStr">
        <is>
          <t>subject07</t>
        </is>
      </c>
      <c r="B556" t="n">
        <v>60</v>
      </c>
      <c r="C556" t="n">
        <v>295</v>
      </c>
      <c r="D556" t="n">
        <v>315</v>
      </c>
      <c r="E556" t="n">
        <v>1.04</v>
      </c>
      <c r="F556" t="n">
        <v>62.4</v>
      </c>
      <c r="G556">
        <f>H556/60</f>
        <v/>
      </c>
      <c r="H556">
        <f>MEDIAN(I554,I555,I556,I557,I558)</f>
        <v/>
      </c>
      <c r="I556" t="n">
        <v>63</v>
      </c>
      <c r="J556">
        <f>H556-F556</f>
        <v/>
      </c>
      <c r="K556">
        <f>ABS(J556)</f>
        <v/>
      </c>
      <c r="L556">
        <f>K556/F556*100</f>
        <v/>
      </c>
    </row>
    <row r="557">
      <c r="A557" t="inlineStr">
        <is>
          <t>subject07</t>
        </is>
      </c>
      <c r="B557" t="n">
        <v>61</v>
      </c>
      <c r="C557" t="n">
        <v>300</v>
      </c>
      <c r="D557" t="n">
        <v>320</v>
      </c>
      <c r="E557" t="n">
        <v>1.0314</v>
      </c>
      <c r="F557" t="n">
        <v>61.88</v>
      </c>
      <c r="G557">
        <f>H557/60</f>
        <v/>
      </c>
      <c r="H557">
        <f>MEDIAN(I555,I556,I557,I558,I559)</f>
        <v/>
      </c>
      <c r="I557" t="n">
        <v>63</v>
      </c>
      <c r="J557">
        <f>H557-F557</f>
        <v/>
      </c>
      <c r="K557">
        <f>ABS(J557)</f>
        <v/>
      </c>
      <c r="L557">
        <f>K557/F557*100</f>
        <v/>
      </c>
    </row>
    <row r="558">
      <c r="A558" t="inlineStr">
        <is>
          <t>subject07</t>
        </is>
      </c>
      <c r="B558" t="n">
        <v>62</v>
      </c>
      <c r="C558" t="n">
        <v>305</v>
      </c>
      <c r="D558" t="n">
        <v>325</v>
      </c>
      <c r="E558" t="n">
        <v>1.0383</v>
      </c>
      <c r="F558" t="n">
        <v>62.3</v>
      </c>
      <c r="G558">
        <f>H558/60</f>
        <v/>
      </c>
      <c r="H558">
        <f>MEDIAN(I556,I557,I558,I559,I560)</f>
        <v/>
      </c>
      <c r="I558" t="n">
        <v>63</v>
      </c>
      <c r="J558">
        <f>H558-F558</f>
        <v/>
      </c>
      <c r="K558">
        <f>ABS(J558)</f>
        <v/>
      </c>
      <c r="L558">
        <f>K558/F558*100</f>
        <v/>
      </c>
    </row>
    <row r="559">
      <c r="A559" t="inlineStr">
        <is>
          <t>subject07</t>
        </is>
      </c>
      <c r="B559" t="n">
        <v>63</v>
      </c>
      <c r="C559" t="n">
        <v>310</v>
      </c>
      <c r="D559" t="n">
        <v>330</v>
      </c>
      <c r="E559" t="n">
        <v>1.0474</v>
      </c>
      <c r="F559" t="n">
        <v>62.84</v>
      </c>
      <c r="G559">
        <f>H559/60</f>
        <v/>
      </c>
      <c r="H559">
        <f>MEDIAN(I557,I558,I559,I560,I561)</f>
        <v/>
      </c>
      <c r="I559" t="n">
        <v>63</v>
      </c>
      <c r="J559">
        <f>H559-F559</f>
        <v/>
      </c>
      <c r="K559">
        <f>ABS(J559)</f>
        <v/>
      </c>
      <c r="L559">
        <f>K559/F559*100</f>
        <v/>
      </c>
    </row>
    <row r="560">
      <c r="A560" t="inlineStr">
        <is>
          <t>subject07</t>
        </is>
      </c>
      <c r="B560" t="n">
        <v>64</v>
      </c>
      <c r="C560" t="n">
        <v>315</v>
      </c>
      <c r="D560" t="n">
        <v>335</v>
      </c>
      <c r="E560" t="n">
        <v>1.065</v>
      </c>
      <c r="F560" t="n">
        <v>63.9</v>
      </c>
      <c r="G560">
        <f>H560/60</f>
        <v/>
      </c>
      <c r="H560">
        <f>MEDIAN(I558,I559,I560,I561,I562)</f>
        <v/>
      </c>
      <c r="I560" t="n">
        <v>63</v>
      </c>
      <c r="J560">
        <f>H560-F560</f>
        <v/>
      </c>
      <c r="K560">
        <f>ABS(J560)</f>
        <v/>
      </c>
      <c r="L560">
        <f>K560/F560*100</f>
        <v/>
      </c>
    </row>
    <row r="561">
      <c r="A561" t="inlineStr">
        <is>
          <t>subject07</t>
        </is>
      </c>
      <c r="B561" t="n">
        <v>65</v>
      </c>
      <c r="C561" t="n">
        <v>320</v>
      </c>
      <c r="D561" t="n">
        <v>340</v>
      </c>
      <c r="E561" t="n">
        <v>1.0711</v>
      </c>
      <c r="F561" t="n">
        <v>64.27</v>
      </c>
      <c r="G561">
        <f>H561/60</f>
        <v/>
      </c>
      <c r="H561">
        <f>MEDIAN(I559,I560,I561,I562,I563)</f>
        <v/>
      </c>
      <c r="I561" t="n">
        <v>66</v>
      </c>
      <c r="J561">
        <f>H561-F561</f>
        <v/>
      </c>
      <c r="K561">
        <f>ABS(J561)</f>
        <v/>
      </c>
      <c r="L561">
        <f>K561/F561*100</f>
        <v/>
      </c>
    </row>
    <row r="562">
      <c r="A562" t="inlineStr">
        <is>
          <t>subject07</t>
        </is>
      </c>
      <c r="B562" t="n">
        <v>66</v>
      </c>
      <c r="C562" t="n">
        <v>325</v>
      </c>
      <c r="D562" t="n">
        <v>345</v>
      </c>
      <c r="E562" t="n">
        <v>1.0742</v>
      </c>
      <c r="F562" t="n">
        <v>64.45</v>
      </c>
      <c r="G562">
        <f>H562/60</f>
        <v/>
      </c>
      <c r="H562">
        <f>MEDIAN(I560,I561,I562,I563,I564)</f>
        <v/>
      </c>
      <c r="I562" t="n">
        <v>66</v>
      </c>
      <c r="J562">
        <f>H562-F562</f>
        <v/>
      </c>
      <c r="K562">
        <f>ABS(J562)</f>
        <v/>
      </c>
      <c r="L562">
        <f>K562/F562*100</f>
        <v/>
      </c>
    </row>
    <row r="563">
      <c r="A563" t="inlineStr">
        <is>
          <t>subject07</t>
        </is>
      </c>
      <c r="B563" t="n">
        <v>67</v>
      </c>
      <c r="C563" t="n">
        <v>330</v>
      </c>
      <c r="D563" t="n">
        <v>350</v>
      </c>
      <c r="E563" t="n">
        <v>1.0654</v>
      </c>
      <c r="F563" t="n">
        <v>63.92</v>
      </c>
      <c r="G563">
        <f>H563/60</f>
        <v/>
      </c>
      <c r="H563">
        <f>MEDIAN(I561,I562,I563,I564,I565)</f>
        <v/>
      </c>
      <c r="I563" t="n">
        <v>66</v>
      </c>
      <c r="J563">
        <f>H563-F563</f>
        <v/>
      </c>
      <c r="K563">
        <f>ABS(J563)</f>
        <v/>
      </c>
      <c r="L563">
        <f>K563/F563*100</f>
        <v/>
      </c>
    </row>
    <row r="564">
      <c r="A564" t="inlineStr">
        <is>
          <t>subject07</t>
        </is>
      </c>
      <c r="B564" t="n">
        <v>68</v>
      </c>
      <c r="C564" t="n">
        <v>335</v>
      </c>
      <c r="D564" t="n">
        <v>355</v>
      </c>
      <c r="E564" t="n">
        <v>1.0452</v>
      </c>
      <c r="F564" t="n">
        <v>62.71</v>
      </c>
      <c r="G564">
        <f>H564/60</f>
        <v/>
      </c>
      <c r="H564">
        <f>MEDIAN(I562,I563,I564,I565,I566)</f>
        <v/>
      </c>
      <c r="I564" t="n">
        <v>72</v>
      </c>
      <c r="J564">
        <f>H564-F564</f>
        <v/>
      </c>
      <c r="K564">
        <f>ABS(J564)</f>
        <v/>
      </c>
      <c r="L564">
        <f>K564/F564*100</f>
        <v/>
      </c>
    </row>
    <row r="565">
      <c r="A565" t="inlineStr">
        <is>
          <t>subject07</t>
        </is>
      </c>
      <c r="B565" t="n">
        <v>69</v>
      </c>
      <c r="C565" t="n">
        <v>340</v>
      </c>
      <c r="D565" t="n">
        <v>360</v>
      </c>
      <c r="E565" t="n">
        <v>1.0416</v>
      </c>
      <c r="F565" t="n">
        <v>62.49</v>
      </c>
      <c r="G565">
        <f>H565/60</f>
        <v/>
      </c>
      <c r="H565">
        <f>MEDIAN(I563,I564,I565,I566,I567)</f>
        <v/>
      </c>
      <c r="I565" t="n">
        <v>72</v>
      </c>
      <c r="J565">
        <f>H565-F565</f>
        <v/>
      </c>
      <c r="K565">
        <f>ABS(J565)</f>
        <v/>
      </c>
      <c r="L565">
        <f>K565/F565*100</f>
        <v/>
      </c>
    </row>
    <row r="566">
      <c r="A566" t="inlineStr">
        <is>
          <t>subject07</t>
        </is>
      </c>
      <c r="B566" t="n">
        <v>70</v>
      </c>
      <c r="C566" t="n">
        <v>345</v>
      </c>
      <c r="D566" t="n">
        <v>365</v>
      </c>
      <c r="E566" t="n">
        <v>1.0392</v>
      </c>
      <c r="F566" t="n">
        <v>62.35</v>
      </c>
      <c r="G566">
        <f>H566/60</f>
        <v/>
      </c>
      <c r="H566">
        <f>MEDIAN(I564,I565,I566,I567,I568)</f>
        <v/>
      </c>
      <c r="I566" t="n">
        <v>63</v>
      </c>
      <c r="J566">
        <f>H566-F566</f>
        <v/>
      </c>
      <c r="K566">
        <f>ABS(J566)</f>
        <v/>
      </c>
      <c r="L566">
        <f>K566/F566*100</f>
        <v/>
      </c>
    </row>
    <row r="567">
      <c r="A567" t="inlineStr">
        <is>
          <t>subject07</t>
        </is>
      </c>
      <c r="B567" t="n">
        <v>71</v>
      </c>
      <c r="C567" t="n">
        <v>350</v>
      </c>
      <c r="D567" t="n">
        <v>370</v>
      </c>
      <c r="E567" t="n">
        <v>1.0306</v>
      </c>
      <c r="F567" t="n">
        <v>61.83</v>
      </c>
      <c r="G567">
        <f>H567/60</f>
        <v/>
      </c>
      <c r="H567">
        <f>MEDIAN(I565,I566,I567,I568,I569)</f>
        <v/>
      </c>
      <c r="I567" t="n">
        <v>63</v>
      </c>
      <c r="J567">
        <f>H567-F567</f>
        <v/>
      </c>
      <c r="K567">
        <f>ABS(J567)</f>
        <v/>
      </c>
      <c r="L567">
        <f>K567/F567*100</f>
        <v/>
      </c>
    </row>
    <row r="568">
      <c r="A568" t="inlineStr">
        <is>
          <t>subject07</t>
        </is>
      </c>
      <c r="B568" t="n">
        <v>72</v>
      </c>
      <c r="C568" t="n">
        <v>355</v>
      </c>
      <c r="D568" t="n">
        <v>375</v>
      </c>
      <c r="E568" t="n">
        <v>1.0395</v>
      </c>
      <c r="F568" t="n">
        <v>62.37</v>
      </c>
      <c r="G568">
        <f>H568/60</f>
        <v/>
      </c>
      <c r="H568">
        <f>MEDIAN(I566,I567,I568,I569,I570)</f>
        <v/>
      </c>
      <c r="I568" t="n">
        <v>63</v>
      </c>
      <c r="J568">
        <f>H568-F568</f>
        <v/>
      </c>
      <c r="K568">
        <f>ABS(J568)</f>
        <v/>
      </c>
      <c r="L568">
        <f>K568/F568*100</f>
        <v/>
      </c>
    </row>
    <row r="569">
      <c r="A569" t="inlineStr">
        <is>
          <t>subject07</t>
        </is>
      </c>
      <c r="B569" t="n">
        <v>73</v>
      </c>
      <c r="C569" t="n">
        <v>360</v>
      </c>
      <c r="D569" t="n">
        <v>380</v>
      </c>
      <c r="E569" t="n">
        <v>1.0386</v>
      </c>
      <c r="F569" t="n">
        <v>62.32</v>
      </c>
      <c r="G569">
        <f>H569/60</f>
        <v/>
      </c>
      <c r="H569">
        <f>MEDIAN(I567,I568,I569,I570,I571)</f>
        <v/>
      </c>
      <c r="I569" t="n">
        <v>60</v>
      </c>
      <c r="J569">
        <f>H569-F569</f>
        <v/>
      </c>
      <c r="K569">
        <f>ABS(J569)</f>
        <v/>
      </c>
      <c r="L569">
        <f>K569/F569*100</f>
        <v/>
      </c>
    </row>
    <row r="570">
      <c r="A570" t="inlineStr">
        <is>
          <t>subject07</t>
        </is>
      </c>
      <c r="B570" t="n">
        <v>74</v>
      </c>
      <c r="C570" t="n">
        <v>365</v>
      </c>
      <c r="D570" t="n">
        <v>385</v>
      </c>
      <c r="E570" t="n">
        <v>1.0317</v>
      </c>
      <c r="F570" t="n">
        <v>61.9</v>
      </c>
      <c r="G570">
        <f>H570/60</f>
        <v/>
      </c>
      <c r="H570">
        <f>MEDIAN(I568,I569,I570,I571,I572)</f>
        <v/>
      </c>
      <c r="I570" t="n">
        <v>63</v>
      </c>
      <c r="J570">
        <f>H570-F570</f>
        <v/>
      </c>
      <c r="K570">
        <f>ABS(J570)</f>
        <v/>
      </c>
      <c r="L570">
        <f>K570/F570*100</f>
        <v/>
      </c>
    </row>
    <row r="571">
      <c r="A571" t="inlineStr">
        <is>
          <t>subject07</t>
        </is>
      </c>
      <c r="B571" t="n">
        <v>75</v>
      </c>
      <c r="C571" t="n">
        <v>370</v>
      </c>
      <c r="D571" t="n">
        <v>390</v>
      </c>
      <c r="E571" t="n">
        <v>1.0432</v>
      </c>
      <c r="F571" t="n">
        <v>62.59</v>
      </c>
      <c r="G571">
        <f>H571/60</f>
        <v/>
      </c>
      <c r="H571">
        <f>MEDIAN(I569,I570,I571,I572,I573)</f>
        <v/>
      </c>
      <c r="I571" t="n">
        <v>63</v>
      </c>
      <c r="J571">
        <f>H571-F571</f>
        <v/>
      </c>
      <c r="K571">
        <f>ABS(J571)</f>
        <v/>
      </c>
      <c r="L571">
        <f>K571/F571*100</f>
        <v/>
      </c>
    </row>
    <row r="572">
      <c r="A572" t="inlineStr">
        <is>
          <t>subject07</t>
        </is>
      </c>
      <c r="B572" t="n">
        <v>76</v>
      </c>
      <c r="C572" t="n">
        <v>375</v>
      </c>
      <c r="D572" t="n">
        <v>395</v>
      </c>
      <c r="E572" t="n">
        <v>1.0527</v>
      </c>
      <c r="F572" t="n">
        <v>63.16</v>
      </c>
      <c r="G572">
        <f>H572/60</f>
        <v/>
      </c>
      <c r="H572">
        <f>MEDIAN(I570,I571,I572,I573,I574)</f>
        <v/>
      </c>
      <c r="I572" t="n">
        <v>69</v>
      </c>
      <c r="J572">
        <f>H572-F572</f>
        <v/>
      </c>
      <c r="K572">
        <f>ABS(J572)</f>
        <v/>
      </c>
      <c r="L572">
        <f>K572/F572*100</f>
        <v/>
      </c>
    </row>
    <row r="573">
      <c r="A573" t="inlineStr">
        <is>
          <t>subject07</t>
        </is>
      </c>
      <c r="B573" t="n">
        <v>77</v>
      </c>
      <c r="C573" t="n">
        <v>380</v>
      </c>
      <c r="D573" t="n">
        <v>400</v>
      </c>
      <c r="E573" t="n">
        <v>1.0547</v>
      </c>
      <c r="F573" t="n">
        <v>63.28</v>
      </c>
      <c r="G573">
        <f>H573/60</f>
        <v/>
      </c>
      <c r="H573">
        <f>MEDIAN(I571,I572,I573,I574,I575)</f>
        <v/>
      </c>
      <c r="I573" t="n">
        <v>54</v>
      </c>
      <c r="J573">
        <f>H573-F573</f>
        <v/>
      </c>
      <c r="K573">
        <f>ABS(J573)</f>
        <v/>
      </c>
      <c r="L573">
        <f>K573/F573*100</f>
        <v/>
      </c>
    </row>
    <row r="574">
      <c r="A574" t="inlineStr">
        <is>
          <t>subject07</t>
        </is>
      </c>
      <c r="B574" t="n">
        <v>78</v>
      </c>
      <c r="C574" t="n">
        <v>385</v>
      </c>
      <c r="D574" t="n">
        <v>405</v>
      </c>
      <c r="E574" t="n">
        <v>1.054</v>
      </c>
      <c r="F574" t="n">
        <v>63.24</v>
      </c>
      <c r="G574">
        <f>H574/60</f>
        <v/>
      </c>
      <c r="H574">
        <f>MEDIAN(I572,I573,I574,I575,I576)</f>
        <v/>
      </c>
      <c r="I574" t="n">
        <v>63</v>
      </c>
      <c r="J574">
        <f>H574-F574</f>
        <v/>
      </c>
      <c r="K574">
        <f>ABS(J574)</f>
        <v/>
      </c>
      <c r="L574">
        <f>K574/F574*100</f>
        <v/>
      </c>
    </row>
    <row r="575">
      <c r="A575" t="inlineStr">
        <is>
          <t>subject07</t>
        </is>
      </c>
      <c r="B575" t="n">
        <v>79</v>
      </c>
      <c r="C575" t="n">
        <v>390</v>
      </c>
      <c r="D575" t="n">
        <v>410</v>
      </c>
      <c r="E575" t="n">
        <v>1.0513</v>
      </c>
      <c r="F575" t="n">
        <v>63.08</v>
      </c>
      <c r="G575">
        <f>H575/60</f>
        <v/>
      </c>
      <c r="H575">
        <f>MEDIAN(I573,I574,I575,I576,I577)</f>
        <v/>
      </c>
      <c r="I575" t="n">
        <v>63</v>
      </c>
      <c r="J575">
        <f>H575-F575</f>
        <v/>
      </c>
      <c r="K575">
        <f>ABS(J575)</f>
        <v/>
      </c>
      <c r="L575">
        <f>K575/F575*100</f>
        <v/>
      </c>
    </row>
    <row r="576">
      <c r="A576" t="inlineStr">
        <is>
          <t>subject07</t>
        </is>
      </c>
      <c r="B576" t="n">
        <v>80</v>
      </c>
      <c r="C576" t="n">
        <v>395</v>
      </c>
      <c r="D576" t="n">
        <v>415</v>
      </c>
      <c r="E576" t="n">
        <v>1.0414</v>
      </c>
      <c r="F576" t="n">
        <v>62.49</v>
      </c>
      <c r="G576">
        <f>H576/60</f>
        <v/>
      </c>
      <c r="H576">
        <f>MEDIAN(I574,I575,I576,I577,I578)</f>
        <v/>
      </c>
      <c r="I576" t="n">
        <v>63</v>
      </c>
      <c r="J576">
        <f>H576-F576</f>
        <v/>
      </c>
      <c r="K576">
        <f>ABS(J576)</f>
        <v/>
      </c>
      <c r="L576">
        <f>K576/F576*100</f>
        <v/>
      </c>
    </row>
    <row r="577">
      <c r="A577" t="inlineStr">
        <is>
          <t>subject07</t>
        </is>
      </c>
      <c r="B577" t="n">
        <v>81</v>
      </c>
      <c r="C577" t="n">
        <v>400</v>
      </c>
      <c r="D577" t="n">
        <v>420</v>
      </c>
      <c r="E577" t="n">
        <v>1.0389</v>
      </c>
      <c r="F577" t="n">
        <v>62.33</v>
      </c>
      <c r="G577">
        <f>H577/60</f>
        <v/>
      </c>
      <c r="H577">
        <f>MEDIAN(I575,I576,I577,I578,I579)</f>
        <v/>
      </c>
      <c r="I577" t="n">
        <v>63</v>
      </c>
      <c r="J577">
        <f>H577-F577</f>
        <v/>
      </c>
      <c r="K577">
        <f>ABS(J577)</f>
        <v/>
      </c>
      <c r="L577">
        <f>K577/F577*100</f>
        <v/>
      </c>
    </row>
    <row r="578">
      <c r="A578" t="inlineStr">
        <is>
          <t>subject07</t>
        </is>
      </c>
      <c r="B578" t="n">
        <v>82</v>
      </c>
      <c r="C578" t="n">
        <v>405</v>
      </c>
      <c r="D578" t="n">
        <v>425</v>
      </c>
      <c r="E578" t="n">
        <v>1.0447</v>
      </c>
      <c r="F578" t="n">
        <v>62.68</v>
      </c>
      <c r="G578">
        <f>H578/60</f>
        <v/>
      </c>
      <c r="H578">
        <f>MEDIAN(I576,I577,I578,I579,I580)</f>
        <v/>
      </c>
      <c r="I578" t="n">
        <v>63</v>
      </c>
      <c r="J578">
        <f>H578-F578</f>
        <v/>
      </c>
      <c r="K578">
        <f>ABS(J578)</f>
        <v/>
      </c>
      <c r="L578">
        <f>K578/F578*100</f>
        <v/>
      </c>
    </row>
    <row r="579">
      <c r="A579" t="inlineStr">
        <is>
          <t>subject07</t>
        </is>
      </c>
      <c r="B579" t="n">
        <v>83</v>
      </c>
      <c r="C579" t="n">
        <v>410</v>
      </c>
      <c r="D579" t="n">
        <v>430</v>
      </c>
      <c r="E579" t="n">
        <v>1.0554</v>
      </c>
      <c r="F579" t="n">
        <v>63.33</v>
      </c>
      <c r="G579">
        <f>H579/60</f>
        <v/>
      </c>
      <c r="H579">
        <f>MEDIAN(I577,I578,I579,I580,0)</f>
        <v/>
      </c>
      <c r="I579" t="n">
        <v>63</v>
      </c>
      <c r="J579">
        <f>H579-F579</f>
        <v/>
      </c>
      <c r="K579">
        <f>ABS(J579)</f>
        <v/>
      </c>
      <c r="L579">
        <f>K579/F579*100</f>
        <v/>
      </c>
    </row>
    <row r="580">
      <c r="A580" t="inlineStr">
        <is>
          <t>subject07</t>
        </is>
      </c>
      <c r="B580" t="n">
        <v>84</v>
      </c>
      <c r="C580" t="n">
        <v>415</v>
      </c>
      <c r="D580" t="n">
        <v>435</v>
      </c>
      <c r="E580" t="n">
        <v>1.054</v>
      </c>
      <c r="F580" t="n">
        <v>63.24</v>
      </c>
      <c r="G580">
        <f>H580/60</f>
        <v/>
      </c>
      <c r="H580">
        <f>MEDIAN(I578,I579,I580,0,0)</f>
        <v/>
      </c>
      <c r="I580" t="n">
        <v>63</v>
      </c>
      <c r="J580">
        <f>H580-F580</f>
        <v/>
      </c>
      <c r="K580">
        <f>ABS(J580)</f>
        <v/>
      </c>
      <c r="L580">
        <f>K580/F580*100</f>
        <v/>
      </c>
    </row>
    <row r="581">
      <c r="A581" t="inlineStr">
        <is>
          <t>subject08</t>
        </is>
      </c>
      <c r="B581" t="n">
        <v>1</v>
      </c>
      <c r="C581" t="n">
        <v>0</v>
      </c>
      <c r="D581" t="n">
        <v>20</v>
      </c>
      <c r="E581" t="n">
        <v>1.2173</v>
      </c>
      <c r="F581" t="n">
        <v>73.04000000000001</v>
      </c>
      <c r="G581">
        <f>H581/60</f>
        <v/>
      </c>
      <c r="H581">
        <f>MEDIAN(0,0,I581,I582,I583)</f>
        <v/>
      </c>
      <c r="I581" t="n">
        <v>72</v>
      </c>
      <c r="J581">
        <f>H581-F581</f>
        <v/>
      </c>
      <c r="K581">
        <f>ABS(J581)</f>
        <v/>
      </c>
      <c r="L581">
        <f>K581/F581*100</f>
        <v/>
      </c>
    </row>
    <row r="582">
      <c r="A582" t="inlineStr">
        <is>
          <t>subject08</t>
        </is>
      </c>
      <c r="B582" t="n">
        <v>2</v>
      </c>
      <c r="C582" t="n">
        <v>5</v>
      </c>
      <c r="D582" t="n">
        <v>25</v>
      </c>
      <c r="E582" t="n">
        <v>1.1924</v>
      </c>
      <c r="F582" t="n">
        <v>71.54000000000001</v>
      </c>
      <c r="G582">
        <f>H582/60</f>
        <v/>
      </c>
      <c r="H582">
        <f>MEDIAN(0,I581,I582,I583,I584)</f>
        <v/>
      </c>
      <c r="I582" t="n">
        <v>69</v>
      </c>
      <c r="J582">
        <f>H582-F582</f>
        <v/>
      </c>
      <c r="K582">
        <f>ABS(J582)</f>
        <v/>
      </c>
      <c r="L582">
        <f>K582/F582*100</f>
        <v/>
      </c>
    </row>
    <row r="583">
      <c r="A583" t="inlineStr">
        <is>
          <t>subject08</t>
        </is>
      </c>
      <c r="B583" t="n">
        <v>3</v>
      </c>
      <c r="C583" t="n">
        <v>10</v>
      </c>
      <c r="D583" t="n">
        <v>30</v>
      </c>
      <c r="E583" t="n">
        <v>1.1907</v>
      </c>
      <c r="F583" t="n">
        <v>71.44</v>
      </c>
      <c r="G583">
        <f>H583/60</f>
        <v/>
      </c>
      <c r="H583">
        <f>MEDIAN(I581,I582,I583,I584,I585)</f>
        <v/>
      </c>
      <c r="I583" t="n">
        <v>69</v>
      </c>
      <c r="J583">
        <f>H583-F583</f>
        <v/>
      </c>
      <c r="K583">
        <f>ABS(J583)</f>
        <v/>
      </c>
      <c r="L583">
        <f>K583/F583*100</f>
        <v/>
      </c>
    </row>
    <row r="584">
      <c r="A584" t="inlineStr">
        <is>
          <t>subject08</t>
        </is>
      </c>
      <c r="B584" t="n">
        <v>4</v>
      </c>
      <c r="C584" t="n">
        <v>15</v>
      </c>
      <c r="D584" t="n">
        <v>35</v>
      </c>
      <c r="E584" t="n">
        <v>1.193</v>
      </c>
      <c r="F584" t="n">
        <v>71.58</v>
      </c>
      <c r="G584">
        <f>H584/60</f>
        <v/>
      </c>
      <c r="H584">
        <f>MEDIAN(I582,I583,I584,I585,I586)</f>
        <v/>
      </c>
      <c r="I584" t="n">
        <v>72</v>
      </c>
      <c r="J584">
        <f>H584-F584</f>
        <v/>
      </c>
      <c r="K584">
        <f>ABS(J584)</f>
        <v/>
      </c>
      <c r="L584">
        <f>K584/F584*100</f>
        <v/>
      </c>
    </row>
    <row r="585">
      <c r="A585" t="inlineStr">
        <is>
          <t>subject08</t>
        </is>
      </c>
      <c r="B585" t="n">
        <v>5</v>
      </c>
      <c r="C585" t="n">
        <v>20</v>
      </c>
      <c r="D585" t="n">
        <v>40</v>
      </c>
      <c r="E585" t="n">
        <v>1.2076</v>
      </c>
      <c r="F585" t="n">
        <v>72.45</v>
      </c>
      <c r="G585">
        <f>H585/60</f>
        <v/>
      </c>
      <c r="H585">
        <f>MEDIAN(I583,I584,I585,I586,I587)</f>
        <v/>
      </c>
      <c r="I585" t="n">
        <v>87</v>
      </c>
      <c r="J585">
        <f>H585-F585</f>
        <v/>
      </c>
      <c r="K585">
        <f>ABS(J585)</f>
        <v/>
      </c>
      <c r="L585">
        <f>K585/F585*100</f>
        <v/>
      </c>
    </row>
    <row r="586">
      <c r="A586" t="inlineStr">
        <is>
          <t>subject08</t>
        </is>
      </c>
      <c r="B586" t="n">
        <v>6</v>
      </c>
      <c r="C586" t="n">
        <v>25</v>
      </c>
      <c r="D586" t="n">
        <v>45</v>
      </c>
      <c r="E586" t="n">
        <v>1.202</v>
      </c>
      <c r="F586" t="n">
        <v>72.12</v>
      </c>
      <c r="G586">
        <f>H586/60</f>
        <v/>
      </c>
      <c r="H586">
        <f>MEDIAN(I584,I585,I586,I587,I588)</f>
        <v/>
      </c>
      <c r="I586" t="n">
        <v>75</v>
      </c>
      <c r="J586">
        <f>H586-F586</f>
        <v/>
      </c>
      <c r="K586">
        <f>ABS(J586)</f>
        <v/>
      </c>
      <c r="L586">
        <f>K586/F586*100</f>
        <v/>
      </c>
    </row>
    <row r="587">
      <c r="A587" t="inlineStr">
        <is>
          <t>subject08</t>
        </is>
      </c>
      <c r="B587" t="n">
        <v>7</v>
      </c>
      <c r="C587" t="n">
        <v>30</v>
      </c>
      <c r="D587" t="n">
        <v>50</v>
      </c>
      <c r="E587" t="n">
        <v>1.206</v>
      </c>
      <c r="F587" t="n">
        <v>72.36</v>
      </c>
      <c r="G587">
        <f>H587/60</f>
        <v/>
      </c>
      <c r="H587">
        <f>MEDIAN(I585,I586,I587,I588,I589)</f>
        <v/>
      </c>
      <c r="I587" t="n">
        <v>72</v>
      </c>
      <c r="J587">
        <f>H587-F587</f>
        <v/>
      </c>
      <c r="K587">
        <f>ABS(J587)</f>
        <v/>
      </c>
      <c r="L587">
        <f>K587/F587*100</f>
        <v/>
      </c>
    </row>
    <row r="588">
      <c r="A588" t="inlineStr">
        <is>
          <t>subject08</t>
        </is>
      </c>
      <c r="B588" t="n">
        <v>8</v>
      </c>
      <c r="C588" t="n">
        <v>35</v>
      </c>
      <c r="D588" t="n">
        <v>55</v>
      </c>
      <c r="E588" t="n">
        <v>1.2123</v>
      </c>
      <c r="F588" t="n">
        <v>72.73999999999999</v>
      </c>
      <c r="G588">
        <f>H588/60</f>
        <v/>
      </c>
      <c r="H588">
        <f>MEDIAN(I586,I587,I588,I589,I590)</f>
        <v/>
      </c>
      <c r="I588" t="n">
        <v>54</v>
      </c>
      <c r="J588">
        <f>H588-F588</f>
        <v/>
      </c>
      <c r="K588">
        <f>ABS(J588)</f>
        <v/>
      </c>
      <c r="L588">
        <f>K588/F588*100</f>
        <v/>
      </c>
    </row>
    <row r="589">
      <c r="A589" t="inlineStr">
        <is>
          <t>subject08</t>
        </is>
      </c>
      <c r="B589" t="n">
        <v>9</v>
      </c>
      <c r="C589" t="n">
        <v>40</v>
      </c>
      <c r="D589" t="n">
        <v>60</v>
      </c>
      <c r="E589" t="n">
        <v>1.2297</v>
      </c>
      <c r="F589" t="n">
        <v>73.78</v>
      </c>
      <c r="G589">
        <f>H589/60</f>
        <v/>
      </c>
      <c r="H589">
        <f>MEDIAN(I587,I588,I589,I590,I591)</f>
        <v/>
      </c>
      <c r="I589" t="n">
        <v>72</v>
      </c>
      <c r="J589">
        <f>H589-F589</f>
        <v/>
      </c>
      <c r="K589">
        <f>ABS(J589)</f>
        <v/>
      </c>
      <c r="L589">
        <f>K589/F589*100</f>
        <v/>
      </c>
    </row>
    <row r="590">
      <c r="A590" t="inlineStr">
        <is>
          <t>subject08</t>
        </is>
      </c>
      <c r="B590" t="n">
        <v>10</v>
      </c>
      <c r="C590" t="n">
        <v>45</v>
      </c>
      <c r="D590" t="n">
        <v>65</v>
      </c>
      <c r="E590" t="n">
        <v>1.2388</v>
      </c>
      <c r="F590" t="n">
        <v>74.33</v>
      </c>
      <c r="G590">
        <f>H590/60</f>
        <v/>
      </c>
      <c r="H590">
        <f>MEDIAN(I588,I589,I590,I591,I592)</f>
        <v/>
      </c>
      <c r="I590" t="n">
        <v>69</v>
      </c>
      <c r="J590">
        <f>H590-F590</f>
        <v/>
      </c>
      <c r="K590">
        <f>ABS(J590)</f>
        <v/>
      </c>
      <c r="L590">
        <f>K590/F590*100</f>
        <v/>
      </c>
    </row>
    <row r="591">
      <c r="A591" t="inlineStr">
        <is>
          <t>subject08</t>
        </is>
      </c>
      <c r="B591" t="n">
        <v>11</v>
      </c>
      <c r="C591" t="n">
        <v>50</v>
      </c>
      <c r="D591" t="n">
        <v>70</v>
      </c>
      <c r="E591" t="n">
        <v>1.245</v>
      </c>
      <c r="F591" t="n">
        <v>74.7</v>
      </c>
      <c r="G591">
        <f>H591/60</f>
        <v/>
      </c>
      <c r="H591">
        <f>MEDIAN(I589,I590,I591,I592,I593)</f>
        <v/>
      </c>
      <c r="I591" t="n">
        <v>69</v>
      </c>
      <c r="J591">
        <f>H591-F591</f>
        <v/>
      </c>
      <c r="K591">
        <f>ABS(J591)</f>
        <v/>
      </c>
      <c r="L591">
        <f>K591/F591*100</f>
        <v/>
      </c>
    </row>
    <row r="592">
      <c r="A592" t="inlineStr">
        <is>
          <t>subject08</t>
        </is>
      </c>
      <c r="B592" t="n">
        <v>12</v>
      </c>
      <c r="C592" t="n">
        <v>55</v>
      </c>
      <c r="D592" t="n">
        <v>75</v>
      </c>
      <c r="E592" t="n">
        <v>1.2475</v>
      </c>
      <c r="F592" t="n">
        <v>74.84999999999999</v>
      </c>
      <c r="G592">
        <f>H592/60</f>
        <v/>
      </c>
      <c r="H592">
        <f>MEDIAN(I590,I591,I592,I593,I594)</f>
        <v/>
      </c>
      <c r="I592" t="n">
        <v>75</v>
      </c>
      <c r="J592">
        <f>H592-F592</f>
        <v/>
      </c>
      <c r="K592">
        <f>ABS(J592)</f>
        <v/>
      </c>
      <c r="L592">
        <f>K592/F592*100</f>
        <v/>
      </c>
    </row>
    <row r="593">
      <c r="A593" t="inlineStr">
        <is>
          <t>subject08</t>
        </is>
      </c>
      <c r="B593" t="n">
        <v>13</v>
      </c>
      <c r="C593" t="n">
        <v>60</v>
      </c>
      <c r="D593" t="n">
        <v>80</v>
      </c>
      <c r="E593" t="n">
        <v>1.2355</v>
      </c>
      <c r="F593" t="n">
        <v>74.13</v>
      </c>
      <c r="G593">
        <f>H593/60</f>
        <v/>
      </c>
      <c r="H593">
        <f>MEDIAN(I591,I592,I593,I594,I595)</f>
        <v/>
      </c>
      <c r="I593" t="n">
        <v>75</v>
      </c>
      <c r="J593">
        <f>H593-F593</f>
        <v/>
      </c>
      <c r="K593">
        <f>ABS(J593)</f>
        <v/>
      </c>
      <c r="L593">
        <f>K593/F593*100</f>
        <v/>
      </c>
    </row>
    <row r="594">
      <c r="A594" t="inlineStr">
        <is>
          <t>subject08</t>
        </is>
      </c>
      <c r="B594" t="n">
        <v>14</v>
      </c>
      <c r="C594" t="n">
        <v>65</v>
      </c>
      <c r="D594" t="n">
        <v>85</v>
      </c>
      <c r="E594" t="n">
        <v>1.2271</v>
      </c>
      <c r="F594" t="n">
        <v>73.63</v>
      </c>
      <c r="G594">
        <f>H594/60</f>
        <v/>
      </c>
      <c r="H594">
        <f>MEDIAN(I592,I593,I594,I595,I596)</f>
        <v/>
      </c>
      <c r="I594" t="n">
        <v>111</v>
      </c>
      <c r="J594">
        <f>H594-F594</f>
        <v/>
      </c>
      <c r="K594">
        <f>ABS(J594)</f>
        <v/>
      </c>
      <c r="L594">
        <f>K594/F594*100</f>
        <v/>
      </c>
    </row>
    <row r="595">
      <c r="A595" t="inlineStr">
        <is>
          <t>subject08</t>
        </is>
      </c>
      <c r="B595" t="n">
        <v>15</v>
      </c>
      <c r="C595" t="n">
        <v>70</v>
      </c>
      <c r="D595" t="n">
        <v>90</v>
      </c>
      <c r="E595" t="n">
        <v>1.2378</v>
      </c>
      <c r="F595" t="n">
        <v>74.27</v>
      </c>
      <c r="G595">
        <f>H595/60</f>
        <v/>
      </c>
      <c r="H595">
        <f>MEDIAN(I593,I594,I595,I596,I597)</f>
        <v/>
      </c>
      <c r="I595" t="n">
        <v>75</v>
      </c>
      <c r="J595">
        <f>H595-F595</f>
        <v/>
      </c>
      <c r="K595">
        <f>ABS(J595)</f>
        <v/>
      </c>
      <c r="L595">
        <f>K595/F595*100</f>
        <v/>
      </c>
    </row>
    <row r="596">
      <c r="A596" t="inlineStr">
        <is>
          <t>subject08</t>
        </is>
      </c>
      <c r="B596" t="n">
        <v>16</v>
      </c>
      <c r="C596" t="n">
        <v>75</v>
      </c>
      <c r="D596" t="n">
        <v>95</v>
      </c>
      <c r="E596" t="n">
        <v>1.235</v>
      </c>
      <c r="F596" t="n">
        <v>74.09999999999999</v>
      </c>
      <c r="G596">
        <f>H596/60</f>
        <v/>
      </c>
      <c r="H596">
        <f>MEDIAN(I594,I595,I596,I597,I598)</f>
        <v/>
      </c>
      <c r="I596" t="n">
        <v>75</v>
      </c>
      <c r="J596">
        <f>H596-F596</f>
        <v/>
      </c>
      <c r="K596">
        <f>ABS(J596)</f>
        <v/>
      </c>
      <c r="L596">
        <f>K596/F596*100</f>
        <v/>
      </c>
    </row>
    <row r="597">
      <c r="A597" t="inlineStr">
        <is>
          <t>subject08</t>
        </is>
      </c>
      <c r="B597" t="n">
        <v>17</v>
      </c>
      <c r="C597" t="n">
        <v>80</v>
      </c>
      <c r="D597" t="n">
        <v>100</v>
      </c>
      <c r="E597" t="n">
        <v>1.2275</v>
      </c>
      <c r="F597" t="n">
        <v>73.65000000000001</v>
      </c>
      <c r="G597">
        <f>H597/60</f>
        <v/>
      </c>
      <c r="H597">
        <f>MEDIAN(I595,I596,I597,I598,I599)</f>
        <v/>
      </c>
      <c r="I597" t="n">
        <v>75</v>
      </c>
      <c r="J597">
        <f>H597-F597</f>
        <v/>
      </c>
      <c r="K597">
        <f>ABS(J597)</f>
        <v/>
      </c>
      <c r="L597">
        <f>K597/F597*100</f>
        <v/>
      </c>
    </row>
    <row r="598">
      <c r="A598" t="inlineStr">
        <is>
          <t>subject08</t>
        </is>
      </c>
      <c r="B598" t="n">
        <v>18</v>
      </c>
      <c r="C598" t="n">
        <v>85</v>
      </c>
      <c r="D598" t="n">
        <v>105</v>
      </c>
      <c r="E598" t="n">
        <v>1.2356</v>
      </c>
      <c r="F598" t="n">
        <v>74.14</v>
      </c>
      <c r="G598">
        <f>H598/60</f>
        <v/>
      </c>
      <c r="H598">
        <f>MEDIAN(I596,I597,I598,I599,I600)</f>
        <v/>
      </c>
      <c r="I598" t="n">
        <v>99</v>
      </c>
      <c r="J598">
        <f>H598-F598</f>
        <v/>
      </c>
      <c r="K598">
        <f>ABS(J598)</f>
        <v/>
      </c>
      <c r="L598">
        <f>K598/F598*100</f>
        <v/>
      </c>
    </row>
    <row r="599">
      <c r="A599" t="inlineStr">
        <is>
          <t>subject08</t>
        </is>
      </c>
      <c r="B599" t="n">
        <v>19</v>
      </c>
      <c r="C599" t="n">
        <v>90</v>
      </c>
      <c r="D599" t="n">
        <v>110</v>
      </c>
      <c r="E599" t="n">
        <v>1.2622</v>
      </c>
      <c r="F599" t="n">
        <v>75.73</v>
      </c>
      <c r="G599">
        <f>H599/60</f>
        <v/>
      </c>
      <c r="H599">
        <f>MEDIAN(I597,I598,I599,I600,I601)</f>
        <v/>
      </c>
      <c r="I599" t="n">
        <v>96</v>
      </c>
      <c r="J599">
        <f>H599-F599</f>
        <v/>
      </c>
      <c r="K599">
        <f>ABS(J599)</f>
        <v/>
      </c>
      <c r="L599">
        <f>K599/F599*100</f>
        <v/>
      </c>
    </row>
    <row r="600">
      <c r="A600" t="inlineStr">
        <is>
          <t>subject08</t>
        </is>
      </c>
      <c r="B600" t="n">
        <v>20</v>
      </c>
      <c r="C600" t="n">
        <v>95</v>
      </c>
      <c r="D600" t="n">
        <v>115</v>
      </c>
      <c r="E600" t="n">
        <v>1.2896</v>
      </c>
      <c r="F600" t="n">
        <v>77.37</v>
      </c>
      <c r="G600">
        <f>H600/60</f>
        <v/>
      </c>
      <c r="H600">
        <f>MEDIAN(I598,I599,I600,I601,I602)</f>
        <v/>
      </c>
      <c r="I600" t="n">
        <v>99</v>
      </c>
      <c r="J600">
        <f>H600-F600</f>
        <v/>
      </c>
      <c r="K600">
        <f>ABS(J600)</f>
        <v/>
      </c>
      <c r="L600">
        <f>K600/F600*100</f>
        <v/>
      </c>
    </row>
    <row r="601">
      <c r="A601" t="inlineStr">
        <is>
          <t>subject08</t>
        </is>
      </c>
      <c r="B601" t="n">
        <v>21</v>
      </c>
      <c r="C601" t="n">
        <v>100</v>
      </c>
      <c r="D601" t="n">
        <v>120</v>
      </c>
      <c r="E601" t="n">
        <v>1.3028</v>
      </c>
      <c r="F601" t="n">
        <v>78.17</v>
      </c>
      <c r="G601">
        <f>H601/60</f>
        <v/>
      </c>
      <c r="H601">
        <f>MEDIAN(I599,I600,I601,I602,I603)</f>
        <v/>
      </c>
      <c r="I601" t="n">
        <v>75</v>
      </c>
      <c r="J601">
        <f>H601-F601</f>
        <v/>
      </c>
      <c r="K601">
        <f>ABS(J601)</f>
        <v/>
      </c>
      <c r="L601">
        <f>K601/F601*100</f>
        <v/>
      </c>
    </row>
    <row r="602">
      <c r="A602" t="inlineStr">
        <is>
          <t>subject08</t>
        </is>
      </c>
      <c r="B602" t="n">
        <v>22</v>
      </c>
      <c r="C602" t="n">
        <v>105</v>
      </c>
      <c r="D602" t="n">
        <v>125</v>
      </c>
      <c r="E602" t="n">
        <v>1.3044</v>
      </c>
      <c r="F602" t="n">
        <v>78.26000000000001</v>
      </c>
      <c r="G602">
        <f>H602/60</f>
        <v/>
      </c>
      <c r="H602">
        <f>MEDIAN(I600,I601,I602,I603,I604)</f>
        <v/>
      </c>
      <c r="I602" t="n">
        <v>57</v>
      </c>
      <c r="J602">
        <f>H602-F602</f>
        <v/>
      </c>
      <c r="K602">
        <f>ABS(J602)</f>
        <v/>
      </c>
      <c r="L602">
        <f>K602/F602*100</f>
        <v/>
      </c>
    </row>
    <row r="603">
      <c r="A603" t="inlineStr">
        <is>
          <t>subject08</t>
        </is>
      </c>
      <c r="B603" t="n">
        <v>23</v>
      </c>
      <c r="C603" t="n">
        <v>110</v>
      </c>
      <c r="D603" t="n">
        <v>130</v>
      </c>
      <c r="E603" t="n">
        <v>1.2616</v>
      </c>
      <c r="F603" t="n">
        <v>75.7</v>
      </c>
      <c r="G603">
        <f>H603/60</f>
        <v/>
      </c>
      <c r="H603">
        <f>MEDIAN(I601,I602,I603,I604,I605)</f>
        <v/>
      </c>
      <c r="I603" t="n">
        <v>66</v>
      </c>
      <c r="J603">
        <f>H603-F603</f>
        <v/>
      </c>
      <c r="K603">
        <f>ABS(J603)</f>
        <v/>
      </c>
      <c r="L603">
        <f>K603/F603*100</f>
        <v/>
      </c>
    </row>
    <row r="604">
      <c r="A604" t="inlineStr">
        <is>
          <t>subject08</t>
        </is>
      </c>
      <c r="B604" t="n">
        <v>24</v>
      </c>
      <c r="C604" t="n">
        <v>115</v>
      </c>
      <c r="D604" t="n">
        <v>135</v>
      </c>
      <c r="E604" t="n">
        <v>1.2502</v>
      </c>
      <c r="F604" t="n">
        <v>75.01000000000001</v>
      </c>
      <c r="G604">
        <f>H604/60</f>
        <v/>
      </c>
      <c r="H604">
        <f>MEDIAN(I602,I603,I604,I605,I606)</f>
        <v/>
      </c>
      <c r="I604" t="n">
        <v>69</v>
      </c>
      <c r="J604">
        <f>H604-F604</f>
        <v/>
      </c>
      <c r="K604">
        <f>ABS(J604)</f>
        <v/>
      </c>
      <c r="L604">
        <f>K604/F604*100</f>
        <v/>
      </c>
    </row>
    <row r="605">
      <c r="A605" t="inlineStr">
        <is>
          <t>subject08</t>
        </is>
      </c>
      <c r="B605" t="n">
        <v>25</v>
      </c>
      <c r="C605" t="n">
        <v>120</v>
      </c>
      <c r="D605" t="n">
        <v>140</v>
      </c>
      <c r="E605" t="n">
        <v>1.248</v>
      </c>
      <c r="F605" t="n">
        <v>74.88</v>
      </c>
      <c r="G605">
        <f>H605/60</f>
        <v/>
      </c>
      <c r="H605">
        <f>MEDIAN(I603,I604,I605,I606,I607)</f>
        <v/>
      </c>
      <c r="I605" t="n">
        <v>69</v>
      </c>
      <c r="J605">
        <f>H605-F605</f>
        <v/>
      </c>
      <c r="K605">
        <f>ABS(J605)</f>
        <v/>
      </c>
      <c r="L605">
        <f>K605/F605*100</f>
        <v/>
      </c>
    </row>
    <row r="606">
      <c r="A606" t="inlineStr">
        <is>
          <t>subject08</t>
        </is>
      </c>
      <c r="B606" t="n">
        <v>26</v>
      </c>
      <c r="C606" t="n">
        <v>125</v>
      </c>
      <c r="D606" t="n">
        <v>145</v>
      </c>
      <c r="E606" t="n">
        <v>1.2458</v>
      </c>
      <c r="F606" t="n">
        <v>74.75</v>
      </c>
      <c r="G606">
        <f>H606/60</f>
        <v/>
      </c>
      <c r="H606">
        <f>MEDIAN(I604,I605,I606,I607,I608)</f>
        <v/>
      </c>
      <c r="I606" t="n">
        <v>75</v>
      </c>
      <c r="J606">
        <f>H606-F606</f>
        <v/>
      </c>
      <c r="K606">
        <f>ABS(J606)</f>
        <v/>
      </c>
      <c r="L606">
        <f>K606/F606*100</f>
        <v/>
      </c>
    </row>
    <row r="607">
      <c r="A607" t="inlineStr">
        <is>
          <t>subject08</t>
        </is>
      </c>
      <c r="B607" t="n">
        <v>27</v>
      </c>
      <c r="C607" t="n">
        <v>130</v>
      </c>
      <c r="D607" t="n">
        <v>150</v>
      </c>
      <c r="E607" t="n">
        <v>1.2651</v>
      </c>
      <c r="F607" t="n">
        <v>75.91</v>
      </c>
      <c r="G607">
        <f>H607/60</f>
        <v/>
      </c>
      <c r="H607">
        <f>MEDIAN(I605,I606,I607,I608,I609)</f>
        <v/>
      </c>
      <c r="I607" t="n">
        <v>75</v>
      </c>
      <c r="J607">
        <f>H607-F607</f>
        <v/>
      </c>
      <c r="K607">
        <f>ABS(J607)</f>
        <v/>
      </c>
      <c r="L607">
        <f>K607/F607*100</f>
        <v/>
      </c>
    </row>
    <row r="608">
      <c r="A608" t="inlineStr">
        <is>
          <t>subject08</t>
        </is>
      </c>
      <c r="B608" t="n">
        <v>28</v>
      </c>
      <c r="C608" t="n">
        <v>135</v>
      </c>
      <c r="D608" t="n">
        <v>155</v>
      </c>
      <c r="E608" t="n">
        <v>1.2541</v>
      </c>
      <c r="F608" t="n">
        <v>75.25</v>
      </c>
      <c r="G608">
        <f>H608/60</f>
        <v/>
      </c>
      <c r="H608">
        <f>MEDIAN(I606,I607,I608,I609,I610)</f>
        <v/>
      </c>
      <c r="I608" t="n">
        <v>75</v>
      </c>
      <c r="J608">
        <f>H608-F608</f>
        <v/>
      </c>
      <c r="K608">
        <f>ABS(J608)</f>
        <v/>
      </c>
      <c r="L608">
        <f>K608/F608*100</f>
        <v/>
      </c>
    </row>
    <row r="609">
      <c r="A609" t="inlineStr">
        <is>
          <t>subject08</t>
        </is>
      </c>
      <c r="B609" t="n">
        <v>29</v>
      </c>
      <c r="C609" t="n">
        <v>140</v>
      </c>
      <c r="D609" t="n">
        <v>160</v>
      </c>
      <c r="E609" t="n">
        <v>1.2754</v>
      </c>
      <c r="F609" t="n">
        <v>76.52</v>
      </c>
      <c r="G609">
        <f>H609/60</f>
        <v/>
      </c>
      <c r="H609">
        <f>MEDIAN(I607,I608,I609,I610,I611)</f>
        <v/>
      </c>
      <c r="I609" t="n">
        <v>75</v>
      </c>
      <c r="J609">
        <f>H609-F609</f>
        <v/>
      </c>
      <c r="K609">
        <f>ABS(J609)</f>
        <v/>
      </c>
      <c r="L609">
        <f>K609/F609*100</f>
        <v/>
      </c>
    </row>
    <row r="610">
      <c r="A610" t="inlineStr">
        <is>
          <t>subject08</t>
        </is>
      </c>
      <c r="B610" t="n">
        <v>30</v>
      </c>
      <c r="C610" t="n">
        <v>145</v>
      </c>
      <c r="D610" t="n">
        <v>165</v>
      </c>
      <c r="E610" t="n">
        <v>1.3074</v>
      </c>
      <c r="F610" t="n">
        <v>78.44</v>
      </c>
      <c r="G610">
        <f>H610/60</f>
        <v/>
      </c>
      <c r="H610">
        <f>MEDIAN(I608,I609,I610,I611,I612)</f>
        <v/>
      </c>
      <c r="I610" t="n">
        <v>78</v>
      </c>
      <c r="J610">
        <f>H610-F610</f>
        <v/>
      </c>
      <c r="K610">
        <f>ABS(J610)</f>
        <v/>
      </c>
      <c r="L610">
        <f>K610/F610*100</f>
        <v/>
      </c>
    </row>
    <row r="611">
      <c r="A611" t="inlineStr">
        <is>
          <t>subject08</t>
        </is>
      </c>
      <c r="B611" t="n">
        <v>31</v>
      </c>
      <c r="C611" t="n">
        <v>150</v>
      </c>
      <c r="D611" t="n">
        <v>170</v>
      </c>
      <c r="E611" t="n">
        <v>1.3087</v>
      </c>
      <c r="F611" t="n">
        <v>78.52</v>
      </c>
      <c r="G611">
        <f>H611/60</f>
        <v/>
      </c>
      <c r="H611">
        <f>MEDIAN(I609,I610,I611,I612,I613)</f>
        <v/>
      </c>
      <c r="I611" t="n">
        <v>78</v>
      </c>
      <c r="J611">
        <f>H611-F611</f>
        <v/>
      </c>
      <c r="K611">
        <f>ABS(J611)</f>
        <v/>
      </c>
      <c r="L611">
        <f>K611/F611*100</f>
        <v/>
      </c>
    </row>
    <row r="612">
      <c r="A612" t="inlineStr">
        <is>
          <t>subject08</t>
        </is>
      </c>
      <c r="B612" t="n">
        <v>32</v>
      </c>
      <c r="C612" t="n">
        <v>155</v>
      </c>
      <c r="D612" t="n">
        <v>175</v>
      </c>
      <c r="E612" t="n">
        <v>1.3345</v>
      </c>
      <c r="F612" t="n">
        <v>80.06999999999999</v>
      </c>
      <c r="G612">
        <f>H612/60</f>
        <v/>
      </c>
      <c r="H612">
        <f>MEDIAN(I610,I611,I612,I613,I614)</f>
        <v/>
      </c>
      <c r="I612" t="n">
        <v>63</v>
      </c>
      <c r="J612">
        <f>H612-F612</f>
        <v/>
      </c>
      <c r="K612">
        <f>ABS(J612)</f>
        <v/>
      </c>
      <c r="L612">
        <f>K612/F612*100</f>
        <v/>
      </c>
    </row>
    <row r="613">
      <c r="A613" t="inlineStr">
        <is>
          <t>subject08</t>
        </is>
      </c>
      <c r="B613" t="n">
        <v>33</v>
      </c>
      <c r="C613" t="n">
        <v>160</v>
      </c>
      <c r="D613" t="n">
        <v>180</v>
      </c>
      <c r="E613" t="n">
        <v>1.3204</v>
      </c>
      <c r="F613" t="n">
        <v>79.22</v>
      </c>
      <c r="G613">
        <f>H613/60</f>
        <v/>
      </c>
      <c r="H613">
        <f>MEDIAN(I611,I612,I613,I614,I615)</f>
        <v/>
      </c>
      <c r="I613" t="n">
        <v>63</v>
      </c>
      <c r="J613">
        <f>H613-F613</f>
        <v/>
      </c>
      <c r="K613">
        <f>ABS(J613)</f>
        <v/>
      </c>
      <c r="L613">
        <f>K613/F613*100</f>
        <v/>
      </c>
    </row>
    <row r="614">
      <c r="A614" t="inlineStr">
        <is>
          <t>subject08</t>
        </is>
      </c>
      <c r="B614" t="n">
        <v>34</v>
      </c>
      <c r="C614" t="n">
        <v>165</v>
      </c>
      <c r="D614" t="n">
        <v>185</v>
      </c>
      <c r="E614" t="n">
        <v>1.3062</v>
      </c>
      <c r="F614" t="n">
        <v>78.37</v>
      </c>
      <c r="G614">
        <f>H614/60</f>
        <v/>
      </c>
      <c r="H614">
        <f>MEDIAN(I612,I613,I614,I615,I616)</f>
        <v/>
      </c>
      <c r="I614" t="n">
        <v>60</v>
      </c>
      <c r="J614">
        <f>H614-F614</f>
        <v/>
      </c>
      <c r="K614">
        <f>ABS(J614)</f>
        <v/>
      </c>
      <c r="L614">
        <f>K614/F614*100</f>
        <v/>
      </c>
    </row>
    <row r="615">
      <c r="A615" t="inlineStr">
        <is>
          <t>subject08</t>
        </is>
      </c>
      <c r="B615" t="n">
        <v>35</v>
      </c>
      <c r="C615" t="n">
        <v>170</v>
      </c>
      <c r="D615" t="n">
        <v>190</v>
      </c>
      <c r="E615" t="n">
        <v>1.3028</v>
      </c>
      <c r="F615" t="n">
        <v>78.17</v>
      </c>
      <c r="G615">
        <f>H615/60</f>
        <v/>
      </c>
      <c r="H615">
        <f>MEDIAN(I613,I614,I615,I616,I617)</f>
        <v/>
      </c>
      <c r="I615" t="n">
        <v>90</v>
      </c>
      <c r="J615">
        <f>H615-F615</f>
        <v/>
      </c>
      <c r="K615">
        <f>ABS(J615)</f>
        <v/>
      </c>
      <c r="L615">
        <f>K615/F615*100</f>
        <v/>
      </c>
    </row>
    <row r="616">
      <c r="A616" t="inlineStr">
        <is>
          <t>subject08</t>
        </is>
      </c>
      <c r="B616" t="n">
        <v>36</v>
      </c>
      <c r="C616" t="n">
        <v>175</v>
      </c>
      <c r="D616" t="n">
        <v>195</v>
      </c>
      <c r="E616" t="n">
        <v>1.2967</v>
      </c>
      <c r="F616" t="n">
        <v>77.8</v>
      </c>
      <c r="G616">
        <f>H616/60</f>
        <v/>
      </c>
      <c r="H616">
        <f>MEDIAN(I614,I615,I616,I617,I618)</f>
        <v/>
      </c>
      <c r="I616" t="n">
        <v>99</v>
      </c>
      <c r="J616">
        <f>H616-F616</f>
        <v/>
      </c>
      <c r="K616">
        <f>ABS(J616)</f>
        <v/>
      </c>
      <c r="L616">
        <f>K616/F616*100</f>
        <v/>
      </c>
    </row>
    <row r="617">
      <c r="A617" t="inlineStr">
        <is>
          <t>subject08</t>
        </is>
      </c>
      <c r="B617" t="n">
        <v>37</v>
      </c>
      <c r="C617" t="n">
        <v>180</v>
      </c>
      <c r="D617" t="n">
        <v>200</v>
      </c>
      <c r="E617" t="n">
        <v>1.303</v>
      </c>
      <c r="F617" t="n">
        <v>78.18000000000001</v>
      </c>
      <c r="G617">
        <f>H617/60</f>
        <v/>
      </c>
      <c r="H617">
        <f>MEDIAN(I615,I616,I617,I618,I619)</f>
        <v/>
      </c>
      <c r="I617" t="n">
        <v>99</v>
      </c>
      <c r="J617">
        <f>H617-F617</f>
        <v/>
      </c>
      <c r="K617">
        <f>ABS(J617)</f>
        <v/>
      </c>
      <c r="L617">
        <f>K617/F617*100</f>
        <v/>
      </c>
    </row>
    <row r="618">
      <c r="A618" t="inlineStr">
        <is>
          <t>subject08</t>
        </is>
      </c>
      <c r="B618" t="n">
        <v>38</v>
      </c>
      <c r="C618" t="n">
        <v>185</v>
      </c>
      <c r="D618" t="n">
        <v>205</v>
      </c>
      <c r="E618" t="n">
        <v>1.2821</v>
      </c>
      <c r="F618" t="n">
        <v>76.93000000000001</v>
      </c>
      <c r="G618">
        <f>H618/60</f>
        <v/>
      </c>
      <c r="H618">
        <f>MEDIAN(I616,I617,I618,I619,I620)</f>
        <v/>
      </c>
      <c r="I618" t="n">
        <v>78</v>
      </c>
      <c r="J618">
        <f>H618-F618</f>
        <v/>
      </c>
      <c r="K618">
        <f>ABS(J618)</f>
        <v/>
      </c>
      <c r="L618">
        <f>K618/F618*100</f>
        <v/>
      </c>
    </row>
    <row r="619">
      <c r="A619" t="inlineStr">
        <is>
          <t>subject08</t>
        </is>
      </c>
      <c r="B619" t="n">
        <v>39</v>
      </c>
      <c r="C619" t="n">
        <v>190</v>
      </c>
      <c r="D619" t="n">
        <v>210</v>
      </c>
      <c r="E619" t="n">
        <v>1.2404</v>
      </c>
      <c r="F619" t="n">
        <v>74.43000000000001</v>
      </c>
      <c r="G619">
        <f>H619/60</f>
        <v/>
      </c>
      <c r="H619">
        <f>MEDIAN(I617,I618,I619,I620,I621)</f>
        <v/>
      </c>
      <c r="I619" t="n">
        <v>75</v>
      </c>
      <c r="J619">
        <f>H619-F619</f>
        <v/>
      </c>
      <c r="K619">
        <f>ABS(J619)</f>
        <v/>
      </c>
      <c r="L619">
        <f>K619/F619*100</f>
        <v/>
      </c>
    </row>
    <row r="620">
      <c r="A620" t="inlineStr">
        <is>
          <t>subject08</t>
        </is>
      </c>
      <c r="B620" t="n">
        <v>40</v>
      </c>
      <c r="C620" t="n">
        <v>195</v>
      </c>
      <c r="D620" t="n">
        <v>215</v>
      </c>
      <c r="E620" t="n">
        <v>1.223</v>
      </c>
      <c r="F620" t="n">
        <v>73.38</v>
      </c>
      <c r="G620">
        <f>H620/60</f>
        <v/>
      </c>
      <c r="H620">
        <f>MEDIAN(I618,I619,I620,I621,I622)</f>
        <v/>
      </c>
      <c r="I620" t="n">
        <v>72</v>
      </c>
      <c r="J620">
        <f>H620-F620</f>
        <v/>
      </c>
      <c r="K620">
        <f>ABS(J620)</f>
        <v/>
      </c>
      <c r="L620">
        <f>K620/F620*100</f>
        <v/>
      </c>
    </row>
    <row r="621">
      <c r="A621" t="inlineStr">
        <is>
          <t>subject08</t>
        </is>
      </c>
      <c r="B621" t="n">
        <v>41</v>
      </c>
      <c r="C621" t="n">
        <v>200</v>
      </c>
      <c r="D621" t="n">
        <v>220</v>
      </c>
      <c r="E621" t="n">
        <v>1.1955</v>
      </c>
      <c r="F621" t="n">
        <v>71.73</v>
      </c>
      <c r="G621">
        <f>H621/60</f>
        <v/>
      </c>
      <c r="H621">
        <f>MEDIAN(I619,I620,I621,I622,I623)</f>
        <v/>
      </c>
      <c r="I621" t="n">
        <v>72</v>
      </c>
      <c r="J621">
        <f>H621-F621</f>
        <v/>
      </c>
      <c r="K621">
        <f>ABS(J621)</f>
        <v/>
      </c>
      <c r="L621">
        <f>K621/F621*100</f>
        <v/>
      </c>
    </row>
    <row r="622">
      <c r="A622" t="inlineStr">
        <is>
          <t>subject08</t>
        </is>
      </c>
      <c r="B622" t="n">
        <v>42</v>
      </c>
      <c r="C622" t="n">
        <v>205</v>
      </c>
      <c r="D622" t="n">
        <v>225</v>
      </c>
      <c r="E622" t="n">
        <v>1.1848</v>
      </c>
      <c r="F622" t="n">
        <v>71.09</v>
      </c>
      <c r="G622">
        <f>H622/60</f>
        <v/>
      </c>
      <c r="H622">
        <f>MEDIAN(I620,I621,I622,I623,I624)</f>
        <v/>
      </c>
      <c r="I622" t="n">
        <v>54</v>
      </c>
      <c r="J622">
        <f>H622-F622</f>
        <v/>
      </c>
      <c r="K622">
        <f>ABS(J622)</f>
        <v/>
      </c>
      <c r="L622">
        <f>K622/F622*100</f>
        <v/>
      </c>
    </row>
    <row r="623">
      <c r="A623" t="inlineStr">
        <is>
          <t>subject08</t>
        </is>
      </c>
      <c r="B623" t="n">
        <v>43</v>
      </c>
      <c r="C623" t="n">
        <v>210</v>
      </c>
      <c r="D623" t="n">
        <v>230</v>
      </c>
      <c r="E623" t="n">
        <v>1.198</v>
      </c>
      <c r="F623" t="n">
        <v>71.88</v>
      </c>
      <c r="G623">
        <f>H623/60</f>
        <v/>
      </c>
      <c r="H623">
        <f>MEDIAN(I621,I622,I623,I624,I625)</f>
        <v/>
      </c>
      <c r="I623" t="n">
        <v>81</v>
      </c>
      <c r="J623">
        <f>H623-F623</f>
        <v/>
      </c>
      <c r="K623">
        <f>ABS(J623)</f>
        <v/>
      </c>
      <c r="L623">
        <f>K623/F623*100</f>
        <v/>
      </c>
    </row>
    <row r="624">
      <c r="A624" t="inlineStr">
        <is>
          <t>subject08</t>
        </is>
      </c>
      <c r="B624" t="n">
        <v>44</v>
      </c>
      <c r="C624" t="n">
        <v>215</v>
      </c>
      <c r="D624" t="n">
        <v>235</v>
      </c>
      <c r="E624" t="n">
        <v>1.1856</v>
      </c>
      <c r="F624" t="n">
        <v>71.14</v>
      </c>
      <c r="G624">
        <f>H624/60</f>
        <v/>
      </c>
      <c r="H624">
        <f>MEDIAN(I622,I623,I624,I625,I626)</f>
        <v/>
      </c>
      <c r="I624" t="n">
        <v>93</v>
      </c>
      <c r="J624">
        <f>H624-F624</f>
        <v/>
      </c>
      <c r="K624">
        <f>ABS(J624)</f>
        <v/>
      </c>
      <c r="L624">
        <f>K624/F624*100</f>
        <v/>
      </c>
    </row>
    <row r="625">
      <c r="A625" t="inlineStr">
        <is>
          <t>subject08</t>
        </is>
      </c>
      <c r="B625" t="n">
        <v>45</v>
      </c>
      <c r="C625" t="n">
        <v>220</v>
      </c>
      <c r="D625" t="n">
        <v>240</v>
      </c>
      <c r="E625" t="n">
        <v>1.1834</v>
      </c>
      <c r="F625" t="n">
        <v>71.01000000000001</v>
      </c>
      <c r="G625">
        <f>H625/60</f>
        <v/>
      </c>
      <c r="H625">
        <f>MEDIAN(I623,I624,I625,I626,I627)</f>
        <v/>
      </c>
      <c r="I625" t="n">
        <v>90</v>
      </c>
      <c r="J625">
        <f>H625-F625</f>
        <v/>
      </c>
      <c r="K625">
        <f>ABS(J625)</f>
        <v/>
      </c>
      <c r="L625">
        <f>K625/F625*100</f>
        <v/>
      </c>
    </row>
    <row r="626">
      <c r="A626" t="inlineStr">
        <is>
          <t>subject08</t>
        </is>
      </c>
      <c r="B626" t="n">
        <v>46</v>
      </c>
      <c r="C626" t="n">
        <v>225</v>
      </c>
      <c r="D626" t="n">
        <v>245</v>
      </c>
      <c r="E626" t="n">
        <v>1.1956</v>
      </c>
      <c r="F626" t="n">
        <v>71.73999999999999</v>
      </c>
      <c r="G626">
        <f>H626/60</f>
        <v/>
      </c>
      <c r="H626">
        <f>MEDIAN(I624,I625,I626,I627,I628)</f>
        <v/>
      </c>
      <c r="I626" t="n">
        <v>72</v>
      </c>
      <c r="J626">
        <f>H626-F626</f>
        <v/>
      </c>
      <c r="K626">
        <f>ABS(J626)</f>
        <v/>
      </c>
      <c r="L626">
        <f>K626/F626*100</f>
        <v/>
      </c>
    </row>
    <row r="627">
      <c r="A627" t="inlineStr">
        <is>
          <t>subject08</t>
        </is>
      </c>
      <c r="B627" t="n">
        <v>47</v>
      </c>
      <c r="C627" t="n">
        <v>230</v>
      </c>
      <c r="D627" t="n">
        <v>250</v>
      </c>
      <c r="E627" t="n">
        <v>1.2137</v>
      </c>
      <c r="F627" t="n">
        <v>72.81999999999999</v>
      </c>
      <c r="G627">
        <f>H627/60</f>
        <v/>
      </c>
      <c r="H627">
        <f>MEDIAN(I625,I626,I627,I628,I629)</f>
        <v/>
      </c>
      <c r="I627" t="n">
        <v>72</v>
      </c>
      <c r="J627">
        <f>H627-F627</f>
        <v/>
      </c>
      <c r="K627">
        <f>ABS(J627)</f>
        <v/>
      </c>
      <c r="L627">
        <f>K627/F627*100</f>
        <v/>
      </c>
    </row>
    <row r="628">
      <c r="A628" t="inlineStr">
        <is>
          <t>subject08</t>
        </is>
      </c>
      <c r="B628" t="n">
        <v>48</v>
      </c>
      <c r="C628" t="n">
        <v>235</v>
      </c>
      <c r="D628" t="n">
        <v>255</v>
      </c>
      <c r="E628" t="n">
        <v>1.2239</v>
      </c>
      <c r="F628" t="n">
        <v>73.44</v>
      </c>
      <c r="G628">
        <f>H628/60</f>
        <v/>
      </c>
      <c r="H628">
        <f>MEDIAN(I626,I627,I628,I629,I630)</f>
        <v/>
      </c>
      <c r="I628" t="n">
        <v>72</v>
      </c>
      <c r="J628">
        <f>H628-F628</f>
        <v/>
      </c>
      <c r="K628">
        <f>ABS(J628)</f>
        <v/>
      </c>
      <c r="L628">
        <f>K628/F628*100</f>
        <v/>
      </c>
    </row>
    <row r="629">
      <c r="A629" t="inlineStr">
        <is>
          <t>subject08</t>
        </is>
      </c>
      <c r="B629" t="n">
        <v>49</v>
      </c>
      <c r="C629" t="n">
        <v>240</v>
      </c>
      <c r="D629" t="n">
        <v>260</v>
      </c>
      <c r="E629" t="n">
        <v>1.2286</v>
      </c>
      <c r="F629" t="n">
        <v>73.72</v>
      </c>
      <c r="G629">
        <f>H629/60</f>
        <v/>
      </c>
      <c r="H629">
        <f>MEDIAN(I627,I628,I629,I630,I631)</f>
        <v/>
      </c>
      <c r="I629" t="n">
        <v>75</v>
      </c>
      <c r="J629">
        <f>H629-F629</f>
        <v/>
      </c>
      <c r="K629">
        <f>ABS(J629)</f>
        <v/>
      </c>
      <c r="L629">
        <f>K629/F629*100</f>
        <v/>
      </c>
    </row>
    <row r="630">
      <c r="A630" t="inlineStr">
        <is>
          <t>subject08</t>
        </is>
      </c>
      <c r="B630" t="n">
        <v>50</v>
      </c>
      <c r="C630" t="n">
        <v>245</v>
      </c>
      <c r="D630" t="n">
        <v>265</v>
      </c>
      <c r="E630" t="n">
        <v>1.2149</v>
      </c>
      <c r="F630" t="n">
        <v>72.90000000000001</v>
      </c>
      <c r="G630">
        <f>H630/60</f>
        <v/>
      </c>
      <c r="H630">
        <f>MEDIAN(I628,I629,I630,I631,I632)</f>
        <v/>
      </c>
      <c r="I630" t="n">
        <v>75</v>
      </c>
      <c r="J630">
        <f>H630-F630</f>
        <v/>
      </c>
      <c r="K630">
        <f>ABS(J630)</f>
        <v/>
      </c>
      <c r="L630">
        <f>K630/F630*100</f>
        <v/>
      </c>
    </row>
    <row r="631">
      <c r="A631" t="inlineStr">
        <is>
          <t>subject08</t>
        </is>
      </c>
      <c r="B631" t="n">
        <v>51</v>
      </c>
      <c r="C631" t="n">
        <v>250</v>
      </c>
      <c r="D631" t="n">
        <v>270</v>
      </c>
      <c r="E631" t="n">
        <v>1.2055</v>
      </c>
      <c r="F631" t="n">
        <v>72.33</v>
      </c>
      <c r="G631">
        <f>H631/60</f>
        <v/>
      </c>
      <c r="H631">
        <f>MEDIAN(I629,I630,I631,I632,I633)</f>
        <v/>
      </c>
      <c r="I631" t="n">
        <v>72</v>
      </c>
      <c r="J631">
        <f>H631-F631</f>
        <v/>
      </c>
      <c r="K631">
        <f>ABS(J631)</f>
        <v/>
      </c>
      <c r="L631">
        <f>K631/F631*100</f>
        <v/>
      </c>
    </row>
    <row r="632">
      <c r="A632" t="inlineStr">
        <is>
          <t>subject08</t>
        </is>
      </c>
      <c r="B632" t="n">
        <v>52</v>
      </c>
      <c r="C632" t="n">
        <v>255</v>
      </c>
      <c r="D632" t="n">
        <v>275</v>
      </c>
      <c r="E632" t="n">
        <v>1.1994</v>
      </c>
      <c r="F632" t="n">
        <v>71.95999999999999</v>
      </c>
      <c r="G632">
        <f>H632/60</f>
        <v/>
      </c>
      <c r="H632">
        <f>MEDIAN(I630,I631,I632,I633,I634)</f>
        <v/>
      </c>
      <c r="I632" t="n">
        <v>72</v>
      </c>
      <c r="J632">
        <f>H632-F632</f>
        <v/>
      </c>
      <c r="K632">
        <f>ABS(J632)</f>
        <v/>
      </c>
      <c r="L632">
        <f>K632/F632*100</f>
        <v/>
      </c>
    </row>
    <row r="633">
      <c r="A633" t="inlineStr">
        <is>
          <t>subject08</t>
        </is>
      </c>
      <c r="B633" t="n">
        <v>53</v>
      </c>
      <c r="C633" t="n">
        <v>260</v>
      </c>
      <c r="D633" t="n">
        <v>280</v>
      </c>
      <c r="E633" t="n">
        <v>1.1911</v>
      </c>
      <c r="F633" t="n">
        <v>71.47</v>
      </c>
      <c r="G633">
        <f>H633/60</f>
        <v/>
      </c>
      <c r="H633">
        <f>MEDIAN(I631,I632,I633,I634,I635)</f>
        <v/>
      </c>
      <c r="I633" t="n">
        <v>75</v>
      </c>
      <c r="J633">
        <f>H633-F633</f>
        <v/>
      </c>
      <c r="K633">
        <f>ABS(J633)</f>
        <v/>
      </c>
      <c r="L633">
        <f>K633/F633*100</f>
        <v/>
      </c>
    </row>
    <row r="634">
      <c r="A634" t="inlineStr">
        <is>
          <t>subject08</t>
        </is>
      </c>
      <c r="B634" t="n">
        <v>54</v>
      </c>
      <c r="C634" t="n">
        <v>265</v>
      </c>
      <c r="D634" t="n">
        <v>285</v>
      </c>
      <c r="E634" t="n">
        <v>1.1966</v>
      </c>
      <c r="F634" t="n">
        <v>71.8</v>
      </c>
      <c r="G634">
        <f>H634/60</f>
        <v/>
      </c>
      <c r="H634">
        <f>MEDIAN(I632,I633,I634,I635,I636)</f>
        <v/>
      </c>
      <c r="I634" t="n">
        <v>75</v>
      </c>
      <c r="J634">
        <f>H634-F634</f>
        <v/>
      </c>
      <c r="K634">
        <f>ABS(J634)</f>
        <v/>
      </c>
      <c r="L634">
        <f>K634/F634*100</f>
        <v/>
      </c>
    </row>
    <row r="635">
      <c r="A635" t="inlineStr">
        <is>
          <t>subject08</t>
        </is>
      </c>
      <c r="B635" t="n">
        <v>55</v>
      </c>
      <c r="C635" t="n">
        <v>270</v>
      </c>
      <c r="D635" t="n">
        <v>290</v>
      </c>
      <c r="E635" t="n">
        <v>1.2113</v>
      </c>
      <c r="F635" t="n">
        <v>72.68000000000001</v>
      </c>
      <c r="G635">
        <f>H635/60</f>
        <v/>
      </c>
      <c r="H635">
        <f>MEDIAN(I633,I634,I635,I636,I637)</f>
        <v/>
      </c>
      <c r="I635" t="n">
        <v>72</v>
      </c>
      <c r="J635">
        <f>H635-F635</f>
        <v/>
      </c>
      <c r="K635">
        <f>ABS(J635)</f>
        <v/>
      </c>
      <c r="L635">
        <f>K635/F635*100</f>
        <v/>
      </c>
    </row>
    <row r="636">
      <c r="A636" t="inlineStr">
        <is>
          <t>subject08</t>
        </is>
      </c>
      <c r="B636" t="n">
        <v>56</v>
      </c>
      <c r="C636" t="n">
        <v>275</v>
      </c>
      <c r="D636" t="n">
        <v>295</v>
      </c>
      <c r="E636" t="n">
        <v>1.2066</v>
      </c>
      <c r="F636" t="n">
        <v>72.40000000000001</v>
      </c>
      <c r="G636">
        <f>H636/60</f>
        <v/>
      </c>
      <c r="H636">
        <f>MEDIAN(I634,I635,I636,I637,I638)</f>
        <v/>
      </c>
      <c r="I636" t="n">
        <v>72</v>
      </c>
      <c r="J636">
        <f>H636-F636</f>
        <v/>
      </c>
      <c r="K636">
        <f>ABS(J636)</f>
        <v/>
      </c>
      <c r="L636">
        <f>K636/F636*100</f>
        <v/>
      </c>
    </row>
    <row r="637">
      <c r="A637" t="inlineStr">
        <is>
          <t>subject08</t>
        </is>
      </c>
      <c r="B637" t="n">
        <v>57</v>
      </c>
      <c r="C637" t="n">
        <v>280</v>
      </c>
      <c r="D637" t="n">
        <v>300</v>
      </c>
      <c r="E637" t="n">
        <v>1.2322</v>
      </c>
      <c r="F637" t="n">
        <v>73.93000000000001</v>
      </c>
      <c r="G637">
        <f>H637/60</f>
        <v/>
      </c>
      <c r="H637">
        <f>MEDIAN(I635,I636,I637,I638,I639)</f>
        <v/>
      </c>
      <c r="I637" t="n">
        <v>75</v>
      </c>
      <c r="J637">
        <f>H637-F637</f>
        <v/>
      </c>
      <c r="K637">
        <f>ABS(J637)</f>
        <v/>
      </c>
      <c r="L637">
        <f>K637/F637*100</f>
        <v/>
      </c>
    </row>
    <row r="638">
      <c r="A638" t="inlineStr">
        <is>
          <t>subject08</t>
        </is>
      </c>
      <c r="B638" t="n">
        <v>58</v>
      </c>
      <c r="C638" t="n">
        <v>285</v>
      </c>
      <c r="D638" t="n">
        <v>305</v>
      </c>
      <c r="E638" t="n">
        <v>1.2444</v>
      </c>
      <c r="F638" t="n">
        <v>74.67</v>
      </c>
      <c r="G638">
        <f>H638/60</f>
        <v/>
      </c>
      <c r="H638">
        <f>MEDIAN(I636,I637,I638,I639,I640)</f>
        <v/>
      </c>
      <c r="I638" t="n">
        <v>75</v>
      </c>
      <c r="J638">
        <f>H638-F638</f>
        <v/>
      </c>
      <c r="K638">
        <f>ABS(J638)</f>
        <v/>
      </c>
      <c r="L638">
        <f>K638/F638*100</f>
        <v/>
      </c>
    </row>
    <row r="639">
      <c r="A639" t="inlineStr">
        <is>
          <t>subject08</t>
        </is>
      </c>
      <c r="B639" t="n">
        <v>59</v>
      </c>
      <c r="C639" t="n">
        <v>290</v>
      </c>
      <c r="D639" t="n">
        <v>310</v>
      </c>
      <c r="E639" t="n">
        <v>1.2411</v>
      </c>
      <c r="F639" t="n">
        <v>74.45999999999999</v>
      </c>
      <c r="G639">
        <f>H639/60</f>
        <v/>
      </c>
      <c r="H639">
        <f>MEDIAN(I637,I638,I639,I640,I641)</f>
        <v/>
      </c>
      <c r="I639" t="n">
        <v>75</v>
      </c>
      <c r="J639">
        <f>H639-F639</f>
        <v/>
      </c>
      <c r="K639">
        <f>ABS(J639)</f>
        <v/>
      </c>
      <c r="L639">
        <f>K639/F639*100</f>
        <v/>
      </c>
    </row>
    <row r="640">
      <c r="A640" t="inlineStr">
        <is>
          <t>subject08</t>
        </is>
      </c>
      <c r="B640" t="n">
        <v>60</v>
      </c>
      <c r="C640" t="n">
        <v>295</v>
      </c>
      <c r="D640" t="n">
        <v>315</v>
      </c>
      <c r="E640" t="n">
        <v>1.2523</v>
      </c>
      <c r="F640" t="n">
        <v>75.14</v>
      </c>
      <c r="G640">
        <f>H640/60</f>
        <v/>
      </c>
      <c r="H640">
        <f>MEDIAN(I638,I639,I640,I641,I642)</f>
        <v/>
      </c>
      <c r="I640" t="n">
        <v>75</v>
      </c>
      <c r="J640">
        <f>H640-F640</f>
        <v/>
      </c>
      <c r="K640">
        <f>ABS(J640)</f>
        <v/>
      </c>
      <c r="L640">
        <f>K640/F640*100</f>
        <v/>
      </c>
    </row>
    <row r="641">
      <c r="A641" t="inlineStr">
        <is>
          <t>subject08</t>
        </is>
      </c>
      <c r="B641" t="n">
        <v>61</v>
      </c>
      <c r="C641" t="n">
        <v>300</v>
      </c>
      <c r="D641" t="n">
        <v>320</v>
      </c>
      <c r="E641" t="n">
        <v>1.2463</v>
      </c>
      <c r="F641" t="n">
        <v>74.78</v>
      </c>
      <c r="G641">
        <f>H641/60</f>
        <v/>
      </c>
      <c r="H641">
        <f>MEDIAN(I639,I640,I641,I642,I643)</f>
        <v/>
      </c>
      <c r="I641" t="n">
        <v>75</v>
      </c>
      <c r="J641">
        <f>H641-F641</f>
        <v/>
      </c>
      <c r="K641">
        <f>ABS(J641)</f>
        <v/>
      </c>
      <c r="L641">
        <f>K641/F641*100</f>
        <v/>
      </c>
    </row>
    <row r="642">
      <c r="A642" t="inlineStr">
        <is>
          <t>subject08</t>
        </is>
      </c>
      <c r="B642" t="n">
        <v>62</v>
      </c>
      <c r="C642" t="n">
        <v>305</v>
      </c>
      <c r="D642" t="n">
        <v>325</v>
      </c>
      <c r="E642" t="n">
        <v>1.2565</v>
      </c>
      <c r="F642" t="n">
        <v>75.39</v>
      </c>
      <c r="G642">
        <f>H642/60</f>
        <v/>
      </c>
      <c r="H642">
        <f>MEDIAN(I640,I641,I642,I643,I644)</f>
        <v/>
      </c>
      <c r="I642" t="n">
        <v>75</v>
      </c>
      <c r="J642">
        <f>H642-F642</f>
        <v/>
      </c>
      <c r="K642">
        <f>ABS(J642)</f>
        <v/>
      </c>
      <c r="L642">
        <f>K642/F642*100</f>
        <v/>
      </c>
    </row>
    <row r="643">
      <c r="A643" t="inlineStr">
        <is>
          <t>subject08</t>
        </is>
      </c>
      <c r="B643" t="n">
        <v>63</v>
      </c>
      <c r="C643" t="n">
        <v>310</v>
      </c>
      <c r="D643" t="n">
        <v>330</v>
      </c>
      <c r="E643" t="n">
        <v>1.2766</v>
      </c>
      <c r="F643" t="n">
        <v>76.59999999999999</v>
      </c>
      <c r="G643">
        <f>H643/60</f>
        <v/>
      </c>
      <c r="H643">
        <f>MEDIAN(I641,I642,I643,I644,I645)</f>
        <v/>
      </c>
      <c r="I643" t="n">
        <v>75</v>
      </c>
      <c r="J643">
        <f>H643-F643</f>
        <v/>
      </c>
      <c r="K643">
        <f>ABS(J643)</f>
        <v/>
      </c>
      <c r="L643">
        <f>K643/F643*100</f>
        <v/>
      </c>
    </row>
    <row r="644">
      <c r="A644" t="inlineStr">
        <is>
          <t>subject08</t>
        </is>
      </c>
      <c r="B644" t="n">
        <v>64</v>
      </c>
      <c r="C644" t="n">
        <v>315</v>
      </c>
      <c r="D644" t="n">
        <v>335</v>
      </c>
      <c r="E644" t="n">
        <v>1.2836</v>
      </c>
      <c r="F644" t="n">
        <v>77.02</v>
      </c>
      <c r="G644">
        <f>H644/60</f>
        <v/>
      </c>
      <c r="H644">
        <f>MEDIAN(I642,I643,I644,I645,I646)</f>
        <v/>
      </c>
      <c r="I644" t="n">
        <v>78</v>
      </c>
      <c r="J644">
        <f>H644-F644</f>
        <v/>
      </c>
      <c r="K644">
        <f>ABS(J644)</f>
        <v/>
      </c>
      <c r="L644">
        <f>K644/F644*100</f>
        <v/>
      </c>
    </row>
    <row r="645">
      <c r="A645" t="inlineStr">
        <is>
          <t>subject08</t>
        </is>
      </c>
      <c r="B645" t="n">
        <v>65</v>
      </c>
      <c r="C645" t="n">
        <v>320</v>
      </c>
      <c r="D645" t="n">
        <v>340</v>
      </c>
      <c r="E645" t="n">
        <v>1.3014</v>
      </c>
      <c r="F645" t="n">
        <v>78.08</v>
      </c>
      <c r="G645">
        <f>H645/60</f>
        <v/>
      </c>
      <c r="H645">
        <f>MEDIAN(I643,I644,I645,I646,I647)</f>
        <v/>
      </c>
      <c r="I645" t="n">
        <v>78</v>
      </c>
      <c r="J645">
        <f>H645-F645</f>
        <v/>
      </c>
      <c r="K645">
        <f>ABS(J645)</f>
        <v/>
      </c>
      <c r="L645">
        <f>K645/F645*100</f>
        <v/>
      </c>
    </row>
    <row r="646">
      <c r="A646" t="inlineStr">
        <is>
          <t>subject08</t>
        </is>
      </c>
      <c r="B646" t="n">
        <v>66</v>
      </c>
      <c r="C646" t="n">
        <v>325</v>
      </c>
      <c r="D646" t="n">
        <v>345</v>
      </c>
      <c r="E646" t="n">
        <v>1.2985</v>
      </c>
      <c r="F646" t="n">
        <v>77.91</v>
      </c>
      <c r="G646">
        <f>H646/60</f>
        <v/>
      </c>
      <c r="H646">
        <f>MEDIAN(I644,I645,I646,I647,I648)</f>
        <v/>
      </c>
      <c r="I646" t="n">
        <v>78</v>
      </c>
      <c r="J646">
        <f>H646-F646</f>
        <v/>
      </c>
      <c r="K646">
        <f>ABS(J646)</f>
        <v/>
      </c>
      <c r="L646">
        <f>K646/F646*100</f>
        <v/>
      </c>
    </row>
    <row r="647">
      <c r="A647" t="inlineStr">
        <is>
          <t>subject08</t>
        </is>
      </c>
      <c r="B647" t="n">
        <v>67</v>
      </c>
      <c r="C647" t="n">
        <v>330</v>
      </c>
      <c r="D647" t="n">
        <v>350</v>
      </c>
      <c r="E647" t="n">
        <v>1.2926</v>
      </c>
      <c r="F647" t="n">
        <v>77.55</v>
      </c>
      <c r="G647">
        <f>H647/60</f>
        <v/>
      </c>
      <c r="H647">
        <f>MEDIAN(I645,I646,I647,I648,I649)</f>
        <v/>
      </c>
      <c r="I647" t="n">
        <v>78</v>
      </c>
      <c r="J647">
        <f>H647-F647</f>
        <v/>
      </c>
      <c r="K647">
        <f>ABS(J647)</f>
        <v/>
      </c>
      <c r="L647">
        <f>K647/F647*100</f>
        <v/>
      </c>
    </row>
    <row r="648">
      <c r="A648" t="inlineStr">
        <is>
          <t>subject08</t>
        </is>
      </c>
      <c r="B648" t="n">
        <v>68</v>
      </c>
      <c r="C648" t="n">
        <v>335</v>
      </c>
      <c r="D648" t="n">
        <v>355</v>
      </c>
      <c r="E648" t="n">
        <v>1.2827</v>
      </c>
      <c r="F648" t="n">
        <v>76.95999999999999</v>
      </c>
      <c r="G648">
        <f>H648/60</f>
        <v/>
      </c>
      <c r="H648">
        <f>MEDIAN(I646,I647,I648,I649,I650)</f>
        <v/>
      </c>
      <c r="I648" t="n">
        <v>78</v>
      </c>
      <c r="J648">
        <f>H648-F648</f>
        <v/>
      </c>
      <c r="K648">
        <f>ABS(J648)</f>
        <v/>
      </c>
      <c r="L648">
        <f>K648/F648*100</f>
        <v/>
      </c>
    </row>
    <row r="649">
      <c r="A649" t="inlineStr">
        <is>
          <t>subject08</t>
        </is>
      </c>
      <c r="B649" t="n">
        <v>69</v>
      </c>
      <c r="C649" t="n">
        <v>340</v>
      </c>
      <c r="D649" t="n">
        <v>360</v>
      </c>
      <c r="E649" t="n">
        <v>1.2795</v>
      </c>
      <c r="F649" t="n">
        <v>76.77</v>
      </c>
      <c r="G649">
        <f>H649/60</f>
        <v/>
      </c>
      <c r="H649">
        <f>MEDIAN(I647,I648,I649,I650,I651)</f>
        <v/>
      </c>
      <c r="I649" t="n">
        <v>75</v>
      </c>
      <c r="J649">
        <f>H649-F649</f>
        <v/>
      </c>
      <c r="K649">
        <f>ABS(J649)</f>
        <v/>
      </c>
      <c r="L649">
        <f>K649/F649*100</f>
        <v/>
      </c>
    </row>
    <row r="650">
      <c r="A650" t="inlineStr">
        <is>
          <t>subject08</t>
        </is>
      </c>
      <c r="B650" t="n">
        <v>70</v>
      </c>
      <c r="C650" t="n">
        <v>345</v>
      </c>
      <c r="D650" t="n">
        <v>365</v>
      </c>
      <c r="E650" t="n">
        <v>1.2939</v>
      </c>
      <c r="F650" t="n">
        <v>77.63</v>
      </c>
      <c r="G650">
        <f>H650/60</f>
        <v/>
      </c>
      <c r="H650">
        <f>MEDIAN(I648,I649,I650,I651,I652)</f>
        <v/>
      </c>
      <c r="I650" t="n">
        <v>84</v>
      </c>
      <c r="J650">
        <f>H650-F650</f>
        <v/>
      </c>
      <c r="K650">
        <f>ABS(J650)</f>
        <v/>
      </c>
      <c r="L650">
        <f>K650/F650*100</f>
        <v/>
      </c>
    </row>
    <row r="651">
      <c r="A651" t="inlineStr">
        <is>
          <t>subject08</t>
        </is>
      </c>
      <c r="B651" t="n">
        <v>71</v>
      </c>
      <c r="C651" t="n">
        <v>350</v>
      </c>
      <c r="D651" t="n">
        <v>370</v>
      </c>
      <c r="E651" t="n">
        <v>1.2953</v>
      </c>
      <c r="F651" t="n">
        <v>77.72</v>
      </c>
      <c r="G651">
        <f>H651/60</f>
        <v/>
      </c>
      <c r="H651">
        <f>MEDIAN(I649,I650,I651,I652,I653)</f>
        <v/>
      </c>
      <c r="I651" t="n">
        <v>81</v>
      </c>
      <c r="J651">
        <f>H651-F651</f>
        <v/>
      </c>
      <c r="K651">
        <f>ABS(J651)</f>
        <v/>
      </c>
      <c r="L651">
        <f>K651/F651*100</f>
        <v/>
      </c>
    </row>
    <row r="652">
      <c r="A652" t="inlineStr">
        <is>
          <t>subject08</t>
        </is>
      </c>
      <c r="B652" t="n">
        <v>72</v>
      </c>
      <c r="C652" t="n">
        <v>355</v>
      </c>
      <c r="D652" t="n">
        <v>375</v>
      </c>
      <c r="E652" t="n">
        <v>1.3223</v>
      </c>
      <c r="F652" t="n">
        <v>79.34</v>
      </c>
      <c r="G652">
        <f>H652/60</f>
        <v/>
      </c>
      <c r="H652">
        <f>MEDIAN(I650,I651,I652,I653,I654)</f>
        <v/>
      </c>
      <c r="I652" t="n">
        <v>72</v>
      </c>
      <c r="J652">
        <f>H652-F652</f>
        <v/>
      </c>
      <c r="K652">
        <f>ABS(J652)</f>
        <v/>
      </c>
      <c r="L652">
        <f>K652/F652*100</f>
        <v/>
      </c>
    </row>
    <row r="653">
      <c r="A653" t="inlineStr">
        <is>
          <t>subject08</t>
        </is>
      </c>
      <c r="B653" t="n">
        <v>73</v>
      </c>
      <c r="C653" t="n">
        <v>360</v>
      </c>
      <c r="D653" t="n">
        <v>380</v>
      </c>
      <c r="E653" t="n">
        <v>1.327</v>
      </c>
      <c r="F653" t="n">
        <v>79.62</v>
      </c>
      <c r="G653">
        <f>H653/60</f>
        <v/>
      </c>
      <c r="H653">
        <f>MEDIAN(I651,I652,I653,I654,I655)</f>
        <v/>
      </c>
      <c r="I653" t="n">
        <v>69</v>
      </c>
      <c r="J653">
        <f>H653-F653</f>
        <v/>
      </c>
      <c r="K653">
        <f>ABS(J653)</f>
        <v/>
      </c>
      <c r="L653">
        <f>K653/F653*100</f>
        <v/>
      </c>
    </row>
    <row r="654">
      <c r="A654" t="inlineStr">
        <is>
          <t>subject08</t>
        </is>
      </c>
      <c r="B654" t="n">
        <v>74</v>
      </c>
      <c r="C654" t="n">
        <v>365</v>
      </c>
      <c r="D654" t="n">
        <v>385</v>
      </c>
      <c r="E654" t="n">
        <v>1.3303</v>
      </c>
      <c r="F654" t="n">
        <v>79.81999999999999</v>
      </c>
      <c r="G654">
        <f>H654/60</f>
        <v/>
      </c>
      <c r="H654">
        <f>MEDIAN(I652,I653,I654,I655,I656)</f>
        <v/>
      </c>
      <c r="I654" t="n">
        <v>81</v>
      </c>
      <c r="J654">
        <f>H654-F654</f>
        <v/>
      </c>
      <c r="K654">
        <f>ABS(J654)</f>
        <v/>
      </c>
      <c r="L654">
        <f>K654/F654*100</f>
        <v/>
      </c>
    </row>
    <row r="655">
      <c r="A655" t="inlineStr">
        <is>
          <t>subject08</t>
        </is>
      </c>
      <c r="B655" t="n">
        <v>75</v>
      </c>
      <c r="C655" t="n">
        <v>370</v>
      </c>
      <c r="D655" t="n">
        <v>390</v>
      </c>
      <c r="E655" t="n">
        <v>1.321</v>
      </c>
      <c r="F655" t="n">
        <v>79.26000000000001</v>
      </c>
      <c r="G655">
        <f>H655/60</f>
        <v/>
      </c>
      <c r="H655">
        <f>MEDIAN(I653,I654,I655,I656,I657)</f>
        <v/>
      </c>
      <c r="I655" t="n">
        <v>81</v>
      </c>
      <c r="J655">
        <f>H655-F655</f>
        <v/>
      </c>
      <c r="K655">
        <f>ABS(J655)</f>
        <v/>
      </c>
      <c r="L655">
        <f>K655/F655*100</f>
        <v/>
      </c>
    </row>
    <row r="656">
      <c r="A656" t="inlineStr">
        <is>
          <t>subject08</t>
        </is>
      </c>
      <c r="B656" t="n">
        <v>76</v>
      </c>
      <c r="C656" t="n">
        <v>375</v>
      </c>
      <c r="D656" t="n">
        <v>395</v>
      </c>
      <c r="E656" t="n">
        <v>1.294</v>
      </c>
      <c r="F656" t="n">
        <v>77.64</v>
      </c>
      <c r="G656">
        <f>H656/60</f>
        <v/>
      </c>
      <c r="H656">
        <f>MEDIAN(I654,I655,I656,I657,I658)</f>
        <v/>
      </c>
      <c r="I656" t="n">
        <v>78</v>
      </c>
      <c r="J656">
        <f>H656-F656</f>
        <v/>
      </c>
      <c r="K656">
        <f>ABS(J656)</f>
        <v/>
      </c>
      <c r="L656">
        <f>K656/F656*100</f>
        <v/>
      </c>
    </row>
    <row r="657">
      <c r="A657" t="inlineStr">
        <is>
          <t>subject08</t>
        </is>
      </c>
      <c r="B657" t="n">
        <v>77</v>
      </c>
      <c r="C657" t="n">
        <v>380</v>
      </c>
      <c r="D657" t="n">
        <v>400</v>
      </c>
      <c r="E657" t="n">
        <v>1.2749</v>
      </c>
      <c r="F657" t="n">
        <v>76.48999999999999</v>
      </c>
      <c r="G657">
        <f>H657/60</f>
        <v/>
      </c>
      <c r="H657">
        <f>MEDIAN(I655,I656,I657,I658,I659)</f>
        <v/>
      </c>
      <c r="I657" t="n">
        <v>75</v>
      </c>
      <c r="J657">
        <f>H657-F657</f>
        <v/>
      </c>
      <c r="K657">
        <f>ABS(J657)</f>
        <v/>
      </c>
      <c r="L657">
        <f>K657/F657*100</f>
        <v/>
      </c>
    </row>
    <row r="658">
      <c r="A658" t="inlineStr">
        <is>
          <t>subject08</t>
        </is>
      </c>
      <c r="B658" t="n">
        <v>78</v>
      </c>
      <c r="C658" t="n">
        <v>385</v>
      </c>
      <c r="D658" t="n">
        <v>405</v>
      </c>
      <c r="E658" t="n">
        <v>1.2608</v>
      </c>
      <c r="F658" t="n">
        <v>75.65000000000001</v>
      </c>
      <c r="G658">
        <f>H658/60</f>
        <v/>
      </c>
      <c r="H658">
        <f>MEDIAN(I656,I657,I658,I659,I660)</f>
        <v/>
      </c>
      <c r="I658" t="n">
        <v>75</v>
      </c>
      <c r="J658">
        <f>H658-F658</f>
        <v/>
      </c>
      <c r="K658">
        <f>ABS(J658)</f>
        <v/>
      </c>
      <c r="L658">
        <f>K658/F658*100</f>
        <v/>
      </c>
    </row>
    <row r="659">
      <c r="A659" t="inlineStr">
        <is>
          <t>subject08</t>
        </is>
      </c>
      <c r="B659" t="n">
        <v>79</v>
      </c>
      <c r="C659" t="n">
        <v>390</v>
      </c>
      <c r="D659" t="n">
        <v>410</v>
      </c>
      <c r="E659" t="n">
        <v>1.2532</v>
      </c>
      <c r="F659" t="n">
        <v>75.19</v>
      </c>
      <c r="G659">
        <f>H659/60</f>
        <v/>
      </c>
      <c r="H659">
        <f>MEDIAN(I657,I658,I659,I660,I661)</f>
        <v/>
      </c>
      <c r="I659" t="n">
        <v>75</v>
      </c>
      <c r="J659">
        <f>H659-F659</f>
        <v/>
      </c>
      <c r="K659">
        <f>ABS(J659)</f>
        <v/>
      </c>
      <c r="L659">
        <f>K659/F659*100</f>
        <v/>
      </c>
    </row>
    <row r="660">
      <c r="A660" t="inlineStr">
        <is>
          <t>subject08</t>
        </is>
      </c>
      <c r="B660" t="n">
        <v>80</v>
      </c>
      <c r="C660" t="n">
        <v>395</v>
      </c>
      <c r="D660" t="n">
        <v>415</v>
      </c>
      <c r="E660" t="n">
        <v>1.26</v>
      </c>
      <c r="F660" t="n">
        <v>75.59999999999999</v>
      </c>
      <c r="G660">
        <f>H660/60</f>
        <v/>
      </c>
      <c r="H660">
        <f>MEDIAN(I658,I659,I660,I661,0)</f>
        <v/>
      </c>
      <c r="I660" t="n">
        <v>75</v>
      </c>
      <c r="J660">
        <f>H660-F660</f>
        <v/>
      </c>
      <c r="K660">
        <f>ABS(J660)</f>
        <v/>
      </c>
      <c r="L660">
        <f>K660/F660*100</f>
        <v/>
      </c>
    </row>
    <row r="661">
      <c r="A661" t="inlineStr">
        <is>
          <t>subject08</t>
        </is>
      </c>
      <c r="B661" t="n">
        <v>81</v>
      </c>
      <c r="C661" t="n">
        <v>400</v>
      </c>
      <c r="D661" t="n">
        <v>420</v>
      </c>
      <c r="E661" t="n">
        <v>1.2751</v>
      </c>
      <c r="F661" t="n">
        <v>76.51000000000001</v>
      </c>
      <c r="G661">
        <f>H661/60</f>
        <v/>
      </c>
      <c r="H661">
        <f>MEDIAN(I659,I660,I661,0,0)</f>
        <v/>
      </c>
      <c r="I661" t="n">
        <v>69</v>
      </c>
      <c r="J661">
        <f>H661-F661</f>
        <v/>
      </c>
      <c r="K661">
        <f>ABS(J661)</f>
        <v/>
      </c>
      <c r="L661">
        <f>K661/F661*100</f>
        <v/>
      </c>
    </row>
    <row r="662">
      <c r="A662" t="inlineStr">
        <is>
          <t>subject09</t>
        </is>
      </c>
      <c r="B662" t="n">
        <v>1</v>
      </c>
      <c r="C662" t="n">
        <v>0</v>
      </c>
      <c r="D662" t="n">
        <v>20</v>
      </c>
      <c r="E662" t="n">
        <v>1.4811</v>
      </c>
      <c r="F662" t="n">
        <v>88.87</v>
      </c>
      <c r="G662">
        <f>H662/60</f>
        <v/>
      </c>
      <c r="H662">
        <f>MEDIAN(0,0,I662,I663,I664)</f>
        <v/>
      </c>
      <c r="I662" t="n">
        <v>75</v>
      </c>
      <c r="J662">
        <f>H662-F662</f>
        <v/>
      </c>
      <c r="K662">
        <f>ABS(J662)</f>
        <v/>
      </c>
      <c r="L662">
        <f>K662/F662*100</f>
        <v/>
      </c>
    </row>
    <row r="663">
      <c r="A663" t="inlineStr">
        <is>
          <t>subject09</t>
        </is>
      </c>
      <c r="B663" t="n">
        <v>2</v>
      </c>
      <c r="C663" t="n">
        <v>5</v>
      </c>
      <c r="D663" t="n">
        <v>25</v>
      </c>
      <c r="E663" t="n">
        <v>1.4527</v>
      </c>
      <c r="F663" t="n">
        <v>87.16</v>
      </c>
      <c r="G663">
        <f>H663/60</f>
        <v/>
      </c>
      <c r="H663">
        <f>MEDIAN(0,I662,I663,I664,I665)</f>
        <v/>
      </c>
      <c r="I663" t="n">
        <v>75</v>
      </c>
      <c r="J663">
        <f>H663-F663</f>
        <v/>
      </c>
      <c r="K663">
        <f>ABS(J663)</f>
        <v/>
      </c>
      <c r="L663">
        <f>K663/F663*100</f>
        <v/>
      </c>
    </row>
    <row r="664">
      <c r="A664" t="inlineStr">
        <is>
          <t>subject09</t>
        </is>
      </c>
      <c r="B664" t="n">
        <v>3</v>
      </c>
      <c r="C664" t="n">
        <v>10</v>
      </c>
      <c r="D664" t="n">
        <v>30</v>
      </c>
      <c r="E664" t="n">
        <v>1.4079</v>
      </c>
      <c r="F664" t="n">
        <v>84.47</v>
      </c>
      <c r="G664">
        <f>H664/60</f>
        <v/>
      </c>
      <c r="H664">
        <f>MEDIAN(I662,I663,I664,I665,I666)</f>
        <v/>
      </c>
      <c r="I664" t="n">
        <v>96</v>
      </c>
      <c r="J664">
        <f>H664-F664</f>
        <v/>
      </c>
      <c r="K664">
        <f>ABS(J664)</f>
        <v/>
      </c>
      <c r="L664">
        <f>K664/F664*100</f>
        <v/>
      </c>
    </row>
    <row r="665">
      <c r="A665" t="inlineStr">
        <is>
          <t>subject09</t>
        </is>
      </c>
      <c r="B665" t="n">
        <v>4</v>
      </c>
      <c r="C665" t="n">
        <v>15</v>
      </c>
      <c r="D665" t="n">
        <v>35</v>
      </c>
      <c r="E665" t="n">
        <v>1.3985</v>
      </c>
      <c r="F665" t="n">
        <v>83.91</v>
      </c>
      <c r="G665">
        <f>H665/60</f>
        <v/>
      </c>
      <c r="H665">
        <f>MEDIAN(I663,I664,I665,I666,I667)</f>
        <v/>
      </c>
      <c r="I665" t="n">
        <v>84</v>
      </c>
      <c r="J665">
        <f>H665-F665</f>
        <v/>
      </c>
      <c r="K665">
        <f>ABS(J665)</f>
        <v/>
      </c>
      <c r="L665">
        <f>K665/F665*100</f>
        <v/>
      </c>
    </row>
    <row r="666">
      <c r="A666" t="inlineStr">
        <is>
          <t>subject09</t>
        </is>
      </c>
      <c r="B666" t="n">
        <v>5</v>
      </c>
      <c r="C666" t="n">
        <v>20</v>
      </c>
      <c r="D666" t="n">
        <v>40</v>
      </c>
      <c r="E666" t="n">
        <v>1.3681</v>
      </c>
      <c r="F666" t="n">
        <v>82.09</v>
      </c>
      <c r="G666">
        <f>H666/60</f>
        <v/>
      </c>
      <c r="H666">
        <f>MEDIAN(I664,I665,I666,I667,I668)</f>
        <v/>
      </c>
      <c r="I666" t="n">
        <v>81</v>
      </c>
      <c r="J666">
        <f>H666-F666</f>
        <v/>
      </c>
      <c r="K666">
        <f>ABS(J666)</f>
        <v/>
      </c>
      <c r="L666">
        <f>K666/F666*100</f>
        <v/>
      </c>
    </row>
    <row r="667">
      <c r="A667" t="inlineStr">
        <is>
          <t>subject09</t>
        </is>
      </c>
      <c r="B667" t="n">
        <v>6</v>
      </c>
      <c r="C667" t="n">
        <v>25</v>
      </c>
      <c r="D667" t="n">
        <v>45</v>
      </c>
      <c r="E667" t="n">
        <v>1.3737</v>
      </c>
      <c r="F667" t="n">
        <v>82.42</v>
      </c>
      <c r="G667">
        <f>H667/60</f>
        <v/>
      </c>
      <c r="H667">
        <f>MEDIAN(I665,I666,I667,I668,I669)</f>
        <v/>
      </c>
      <c r="I667" t="n">
        <v>60</v>
      </c>
      <c r="J667">
        <f>H667-F667</f>
        <v/>
      </c>
      <c r="K667">
        <f>ABS(J667)</f>
        <v/>
      </c>
      <c r="L667">
        <f>K667/F667*100</f>
        <v/>
      </c>
    </row>
    <row r="668">
      <c r="A668" t="inlineStr">
        <is>
          <t>subject09</t>
        </is>
      </c>
      <c r="B668" t="n">
        <v>7</v>
      </c>
      <c r="C668" t="n">
        <v>30</v>
      </c>
      <c r="D668" t="n">
        <v>50</v>
      </c>
      <c r="E668" t="n">
        <v>1.3751</v>
      </c>
      <c r="F668" t="n">
        <v>82.51000000000001</v>
      </c>
      <c r="G668">
        <f>H668/60</f>
        <v/>
      </c>
      <c r="H668">
        <f>MEDIAN(I666,I667,I668,I669,I670)</f>
        <v/>
      </c>
      <c r="I668" t="n">
        <v>84</v>
      </c>
      <c r="J668">
        <f>H668-F668</f>
        <v/>
      </c>
      <c r="K668">
        <f>ABS(J668)</f>
        <v/>
      </c>
      <c r="L668">
        <f>K668/F668*100</f>
        <v/>
      </c>
    </row>
    <row r="669">
      <c r="A669" t="inlineStr">
        <is>
          <t>subject09</t>
        </is>
      </c>
      <c r="B669" t="n">
        <v>8</v>
      </c>
      <c r="C669" t="n">
        <v>35</v>
      </c>
      <c r="D669" t="n">
        <v>55</v>
      </c>
      <c r="E669" t="n">
        <v>1.3576</v>
      </c>
      <c r="F669" t="n">
        <v>81.45999999999999</v>
      </c>
      <c r="G669">
        <f>H669/60</f>
        <v/>
      </c>
      <c r="H669">
        <f>MEDIAN(I667,I668,I669,I670,I671)</f>
        <v/>
      </c>
      <c r="I669" t="n">
        <v>81</v>
      </c>
      <c r="J669">
        <f>H669-F669</f>
        <v/>
      </c>
      <c r="K669">
        <f>ABS(J669)</f>
        <v/>
      </c>
      <c r="L669">
        <f>K669/F669*100</f>
        <v/>
      </c>
    </row>
    <row r="670">
      <c r="A670" t="inlineStr">
        <is>
          <t>subject09</t>
        </is>
      </c>
      <c r="B670" t="n">
        <v>9</v>
      </c>
      <c r="C670" t="n">
        <v>40</v>
      </c>
      <c r="D670" t="n">
        <v>60</v>
      </c>
      <c r="E670" t="n">
        <v>1.3845</v>
      </c>
      <c r="F670" t="n">
        <v>83.06999999999999</v>
      </c>
      <c r="G670">
        <f>H670/60</f>
        <v/>
      </c>
      <c r="H670">
        <f>MEDIAN(I668,I669,I670,I671,I672)</f>
        <v/>
      </c>
      <c r="I670" t="n">
        <v>81</v>
      </c>
      <c r="J670">
        <f>H670-F670</f>
        <v/>
      </c>
      <c r="K670">
        <f>ABS(J670)</f>
        <v/>
      </c>
      <c r="L670">
        <f>K670/F670*100</f>
        <v/>
      </c>
    </row>
    <row r="671">
      <c r="A671" t="inlineStr">
        <is>
          <t>subject09</t>
        </is>
      </c>
      <c r="B671" t="n">
        <v>10</v>
      </c>
      <c r="C671" t="n">
        <v>45</v>
      </c>
      <c r="D671" t="n">
        <v>65</v>
      </c>
      <c r="E671" t="n">
        <v>1.3738</v>
      </c>
      <c r="F671" t="n">
        <v>82.43000000000001</v>
      </c>
      <c r="G671">
        <f>H671/60</f>
        <v/>
      </c>
      <c r="H671">
        <f>MEDIAN(I669,I670,I671,I672,I673)</f>
        <v/>
      </c>
      <c r="I671" t="n">
        <v>99</v>
      </c>
      <c r="J671">
        <f>H671-F671</f>
        <v/>
      </c>
      <c r="K671">
        <f>ABS(J671)</f>
        <v/>
      </c>
      <c r="L671">
        <f>K671/F671*100</f>
        <v/>
      </c>
    </row>
    <row r="672">
      <c r="A672" t="inlineStr">
        <is>
          <t>subject09</t>
        </is>
      </c>
      <c r="B672" t="n">
        <v>11</v>
      </c>
      <c r="C672" t="n">
        <v>50</v>
      </c>
      <c r="D672" t="n">
        <v>70</v>
      </c>
      <c r="E672" t="n">
        <v>1.3822</v>
      </c>
      <c r="F672" t="n">
        <v>82.93000000000001</v>
      </c>
      <c r="G672">
        <f>H672/60</f>
        <v/>
      </c>
      <c r="H672">
        <f>MEDIAN(I670,I671,I672,I673,I674)</f>
        <v/>
      </c>
      <c r="I672" t="n">
        <v>99</v>
      </c>
      <c r="J672">
        <f>H672-F672</f>
        <v/>
      </c>
      <c r="K672">
        <f>ABS(J672)</f>
        <v/>
      </c>
      <c r="L672">
        <f>K672/F672*100</f>
        <v/>
      </c>
    </row>
    <row r="673">
      <c r="A673" t="inlineStr">
        <is>
          <t>subject09</t>
        </is>
      </c>
      <c r="B673" t="n">
        <v>12</v>
      </c>
      <c r="C673" t="n">
        <v>55</v>
      </c>
      <c r="D673" t="n">
        <v>75</v>
      </c>
      <c r="E673" t="n">
        <v>1.3853</v>
      </c>
      <c r="F673" t="n">
        <v>83.12</v>
      </c>
      <c r="G673">
        <f>H673/60</f>
        <v/>
      </c>
      <c r="H673">
        <f>MEDIAN(I671,I672,I673,I674,I675)</f>
        <v/>
      </c>
      <c r="I673" t="n">
        <v>84</v>
      </c>
      <c r="J673">
        <f>H673-F673</f>
        <v/>
      </c>
      <c r="K673">
        <f>ABS(J673)</f>
        <v/>
      </c>
      <c r="L673">
        <f>K673/F673*100</f>
        <v/>
      </c>
    </row>
    <row r="674">
      <c r="A674" t="inlineStr">
        <is>
          <t>subject09</t>
        </is>
      </c>
      <c r="B674" t="n">
        <v>13</v>
      </c>
      <c r="C674" t="n">
        <v>60</v>
      </c>
      <c r="D674" t="n">
        <v>80</v>
      </c>
      <c r="E674" t="n">
        <v>1.3648</v>
      </c>
      <c r="F674" t="n">
        <v>81.89</v>
      </c>
      <c r="G674">
        <f>H674/60</f>
        <v/>
      </c>
      <c r="H674">
        <f>MEDIAN(I672,I673,I674,I675,I676)</f>
        <v/>
      </c>
      <c r="I674" t="n">
        <v>84</v>
      </c>
      <c r="J674">
        <f>H674-F674</f>
        <v/>
      </c>
      <c r="K674">
        <f>ABS(J674)</f>
        <v/>
      </c>
      <c r="L674">
        <f>K674/F674*100</f>
        <v/>
      </c>
    </row>
    <row r="675">
      <c r="A675" t="inlineStr">
        <is>
          <t>subject09</t>
        </is>
      </c>
      <c r="B675" t="n">
        <v>14</v>
      </c>
      <c r="C675" t="n">
        <v>65</v>
      </c>
      <c r="D675" t="n">
        <v>85</v>
      </c>
      <c r="E675" t="n">
        <v>1.3774</v>
      </c>
      <c r="F675" t="n">
        <v>82.65000000000001</v>
      </c>
      <c r="G675">
        <f>H675/60</f>
        <v/>
      </c>
      <c r="H675">
        <f>MEDIAN(I673,I674,I675,I676,I677)</f>
        <v/>
      </c>
      <c r="I675" t="n">
        <v>81</v>
      </c>
      <c r="J675">
        <f>H675-F675</f>
        <v/>
      </c>
      <c r="K675">
        <f>ABS(J675)</f>
        <v/>
      </c>
      <c r="L675">
        <f>K675/F675*100</f>
        <v/>
      </c>
    </row>
    <row r="676">
      <c r="A676" t="inlineStr">
        <is>
          <t>subject09</t>
        </is>
      </c>
      <c r="B676" t="n">
        <v>15</v>
      </c>
      <c r="C676" t="n">
        <v>70</v>
      </c>
      <c r="D676" t="n">
        <v>90</v>
      </c>
      <c r="E676" t="n">
        <v>1.3852</v>
      </c>
      <c r="F676" t="n">
        <v>83.11</v>
      </c>
      <c r="G676">
        <f>H676/60</f>
        <v/>
      </c>
      <c r="H676">
        <f>MEDIAN(I674,I675,I676,I677,I678)</f>
        <v/>
      </c>
      <c r="I676" t="n">
        <v>84</v>
      </c>
      <c r="J676">
        <f>H676-F676</f>
        <v/>
      </c>
      <c r="K676">
        <f>ABS(J676)</f>
        <v/>
      </c>
      <c r="L676">
        <f>K676/F676*100</f>
        <v/>
      </c>
    </row>
    <row r="677">
      <c r="A677" t="inlineStr">
        <is>
          <t>subject09</t>
        </is>
      </c>
      <c r="B677" t="n">
        <v>16</v>
      </c>
      <c r="C677" t="n">
        <v>75</v>
      </c>
      <c r="D677" t="n">
        <v>95</v>
      </c>
      <c r="E677" t="n">
        <v>1.3827</v>
      </c>
      <c r="F677" t="n">
        <v>82.95999999999999</v>
      </c>
      <c r="G677">
        <f>H677/60</f>
        <v/>
      </c>
      <c r="H677">
        <f>MEDIAN(I675,I676,I677,I678,I679)</f>
        <v/>
      </c>
      <c r="I677" t="n">
        <v>81</v>
      </c>
      <c r="J677">
        <f>H677-F677</f>
        <v/>
      </c>
      <c r="K677">
        <f>ABS(J677)</f>
        <v/>
      </c>
      <c r="L677">
        <f>K677/F677*100</f>
        <v/>
      </c>
    </row>
    <row r="678">
      <c r="A678" t="inlineStr">
        <is>
          <t>subject09</t>
        </is>
      </c>
      <c r="B678" t="n">
        <v>17</v>
      </c>
      <c r="C678" t="n">
        <v>80</v>
      </c>
      <c r="D678" t="n">
        <v>100</v>
      </c>
      <c r="E678" t="n">
        <v>1.3964</v>
      </c>
      <c r="F678" t="n">
        <v>83.78</v>
      </c>
      <c r="G678">
        <f>H678/60</f>
        <v/>
      </c>
      <c r="H678">
        <f>MEDIAN(I676,I677,I678,I679,I680)</f>
        <v/>
      </c>
      <c r="I678" t="n">
        <v>84</v>
      </c>
      <c r="J678">
        <f>H678-F678</f>
        <v/>
      </c>
      <c r="K678">
        <f>ABS(J678)</f>
        <v/>
      </c>
      <c r="L678">
        <f>K678/F678*100</f>
        <v/>
      </c>
    </row>
    <row r="679">
      <c r="A679" t="inlineStr">
        <is>
          <t>subject09</t>
        </is>
      </c>
      <c r="B679" t="n">
        <v>18</v>
      </c>
      <c r="C679" t="n">
        <v>85</v>
      </c>
      <c r="D679" t="n">
        <v>105</v>
      </c>
      <c r="E679" t="n">
        <v>1.3826</v>
      </c>
      <c r="F679" t="n">
        <v>82.95999999999999</v>
      </c>
      <c r="G679">
        <f>H679/60</f>
        <v/>
      </c>
      <c r="H679">
        <f>MEDIAN(I677,I678,I679,I680,I681)</f>
        <v/>
      </c>
      <c r="I679" t="n">
        <v>54</v>
      </c>
      <c r="J679">
        <f>H679-F679</f>
        <v/>
      </c>
      <c r="K679">
        <f>ABS(J679)</f>
        <v/>
      </c>
      <c r="L679">
        <f>K679/F679*100</f>
        <v/>
      </c>
    </row>
    <row r="680">
      <c r="A680" t="inlineStr">
        <is>
          <t>subject09</t>
        </is>
      </c>
      <c r="B680" t="n">
        <v>19</v>
      </c>
      <c r="C680" t="n">
        <v>90</v>
      </c>
      <c r="D680" t="n">
        <v>110</v>
      </c>
      <c r="E680" t="n">
        <v>1.3762</v>
      </c>
      <c r="F680" t="n">
        <v>82.56999999999999</v>
      </c>
      <c r="G680">
        <f>H680/60</f>
        <v/>
      </c>
      <c r="H680">
        <f>MEDIAN(I678,I679,I680,I681,I682)</f>
        <v/>
      </c>
      <c r="I680" t="n">
        <v>81</v>
      </c>
      <c r="J680">
        <f>H680-F680</f>
        <v/>
      </c>
      <c r="K680">
        <f>ABS(J680)</f>
        <v/>
      </c>
      <c r="L680">
        <f>K680/F680*100</f>
        <v/>
      </c>
    </row>
    <row r="681">
      <c r="A681" t="inlineStr">
        <is>
          <t>subject09</t>
        </is>
      </c>
      <c r="B681" t="n">
        <v>20</v>
      </c>
      <c r="C681" t="n">
        <v>95</v>
      </c>
      <c r="D681" t="n">
        <v>115</v>
      </c>
      <c r="E681" t="n">
        <v>1.379</v>
      </c>
      <c r="F681" t="n">
        <v>82.73999999999999</v>
      </c>
      <c r="G681">
        <f>H681/60</f>
        <v/>
      </c>
      <c r="H681">
        <f>MEDIAN(I679,I680,I681,I682,I683)</f>
        <v/>
      </c>
      <c r="I681" t="n">
        <v>72</v>
      </c>
      <c r="J681">
        <f>H681-F681</f>
        <v/>
      </c>
      <c r="K681">
        <f>ABS(J681)</f>
        <v/>
      </c>
      <c r="L681">
        <f>K681/F681*100</f>
        <v/>
      </c>
    </row>
    <row r="682">
      <c r="A682" t="inlineStr">
        <is>
          <t>subject09</t>
        </is>
      </c>
      <c r="B682" t="n">
        <v>21</v>
      </c>
      <c r="C682" t="n">
        <v>100</v>
      </c>
      <c r="D682" t="n">
        <v>120</v>
      </c>
      <c r="E682" t="n">
        <v>1.3768</v>
      </c>
      <c r="F682" t="n">
        <v>82.61</v>
      </c>
      <c r="G682">
        <f>H682/60</f>
        <v/>
      </c>
      <c r="H682">
        <f>MEDIAN(I680,I681,I682,I683,I684)</f>
        <v/>
      </c>
      <c r="I682" t="n">
        <v>72</v>
      </c>
      <c r="J682">
        <f>H682-F682</f>
        <v/>
      </c>
      <c r="K682">
        <f>ABS(J682)</f>
        <v/>
      </c>
      <c r="L682">
        <f>K682/F682*100</f>
        <v/>
      </c>
    </row>
    <row r="683">
      <c r="A683" t="inlineStr">
        <is>
          <t>subject09</t>
        </is>
      </c>
      <c r="B683" t="n">
        <v>22</v>
      </c>
      <c r="C683" t="n">
        <v>105</v>
      </c>
      <c r="D683" t="n">
        <v>125</v>
      </c>
      <c r="E683" t="n">
        <v>1.3939</v>
      </c>
      <c r="F683" t="n">
        <v>83.64</v>
      </c>
      <c r="G683">
        <f>H683/60</f>
        <v/>
      </c>
      <c r="H683">
        <f>MEDIAN(I681,I682,I683,I684,I685)</f>
        <v/>
      </c>
      <c r="I683" t="n">
        <v>75</v>
      </c>
      <c r="J683">
        <f>H683-F683</f>
        <v/>
      </c>
      <c r="K683">
        <f>ABS(J683)</f>
        <v/>
      </c>
      <c r="L683">
        <f>K683/F683*100</f>
        <v/>
      </c>
    </row>
    <row r="684">
      <c r="A684" t="inlineStr">
        <is>
          <t>subject09</t>
        </is>
      </c>
      <c r="B684" t="n">
        <v>23</v>
      </c>
      <c r="C684" t="n">
        <v>110</v>
      </c>
      <c r="D684" t="n">
        <v>130</v>
      </c>
      <c r="E684" t="n">
        <v>1.3909</v>
      </c>
      <c r="F684" t="n">
        <v>83.45999999999999</v>
      </c>
      <c r="G684">
        <f>H684/60</f>
        <v/>
      </c>
      <c r="H684">
        <f>MEDIAN(I682,I683,I684,I685,I686)</f>
        <v/>
      </c>
      <c r="I684" t="n">
        <v>75</v>
      </c>
      <c r="J684">
        <f>H684-F684</f>
        <v/>
      </c>
      <c r="K684">
        <f>ABS(J684)</f>
        <v/>
      </c>
      <c r="L684">
        <f>K684/F684*100</f>
        <v/>
      </c>
    </row>
    <row r="685">
      <c r="A685" t="inlineStr">
        <is>
          <t>subject09</t>
        </is>
      </c>
      <c r="B685" t="n">
        <v>24</v>
      </c>
      <c r="C685" t="n">
        <v>115</v>
      </c>
      <c r="D685" t="n">
        <v>135</v>
      </c>
      <c r="E685" t="n">
        <v>1.3932</v>
      </c>
      <c r="F685" t="n">
        <v>83.59</v>
      </c>
      <c r="G685">
        <f>H685/60</f>
        <v/>
      </c>
      <c r="H685">
        <f>MEDIAN(I683,I684,I685,I686,I687)</f>
        <v/>
      </c>
      <c r="I685" t="n">
        <v>84</v>
      </c>
      <c r="J685">
        <f>H685-F685</f>
        <v/>
      </c>
      <c r="K685">
        <f>ABS(J685)</f>
        <v/>
      </c>
      <c r="L685">
        <f>K685/F685*100</f>
        <v/>
      </c>
    </row>
    <row r="686">
      <c r="A686" t="inlineStr">
        <is>
          <t>subject09</t>
        </is>
      </c>
      <c r="B686" t="n">
        <v>25</v>
      </c>
      <c r="C686" t="n">
        <v>120</v>
      </c>
      <c r="D686" t="n">
        <v>140</v>
      </c>
      <c r="E686" t="n">
        <v>1.3972</v>
      </c>
      <c r="F686" t="n">
        <v>83.83</v>
      </c>
      <c r="G686">
        <f>H686/60</f>
        <v/>
      </c>
      <c r="H686">
        <f>MEDIAN(I684,I685,I686,I687,I688)</f>
        <v/>
      </c>
      <c r="I686" t="n">
        <v>84</v>
      </c>
      <c r="J686">
        <f>H686-F686</f>
        <v/>
      </c>
      <c r="K686">
        <f>ABS(J686)</f>
        <v/>
      </c>
      <c r="L686">
        <f>K686/F686*100</f>
        <v/>
      </c>
    </row>
    <row r="687">
      <c r="A687" t="inlineStr">
        <is>
          <t>subject09</t>
        </is>
      </c>
      <c r="B687" t="n">
        <v>26</v>
      </c>
      <c r="C687" t="n">
        <v>125</v>
      </c>
      <c r="D687" t="n">
        <v>145</v>
      </c>
      <c r="E687" t="n">
        <v>1.4006</v>
      </c>
      <c r="F687" t="n">
        <v>84.04000000000001</v>
      </c>
      <c r="G687">
        <f>H687/60</f>
        <v/>
      </c>
      <c r="H687">
        <f>MEDIAN(I685,I686,I687,I688,I689)</f>
        <v/>
      </c>
      <c r="I687" t="n">
        <v>84</v>
      </c>
      <c r="J687">
        <f>H687-F687</f>
        <v/>
      </c>
      <c r="K687">
        <f>ABS(J687)</f>
        <v/>
      </c>
      <c r="L687">
        <f>K687/F687*100</f>
        <v/>
      </c>
    </row>
    <row r="688">
      <c r="A688" t="inlineStr">
        <is>
          <t>subject09</t>
        </is>
      </c>
      <c r="B688" t="n">
        <v>27</v>
      </c>
      <c r="C688" t="n">
        <v>130</v>
      </c>
      <c r="D688" t="n">
        <v>150</v>
      </c>
      <c r="E688" t="n">
        <v>1.3897</v>
      </c>
      <c r="F688" t="n">
        <v>83.38</v>
      </c>
      <c r="G688">
        <f>H688/60</f>
        <v/>
      </c>
      <c r="H688">
        <f>MEDIAN(I686,I687,I688,I689,I690)</f>
        <v/>
      </c>
      <c r="I688" t="n">
        <v>84</v>
      </c>
      <c r="J688">
        <f>H688-F688</f>
        <v/>
      </c>
      <c r="K688">
        <f>ABS(J688)</f>
        <v/>
      </c>
      <c r="L688">
        <f>K688/F688*100</f>
        <v/>
      </c>
    </row>
    <row r="689">
      <c r="A689" t="inlineStr">
        <is>
          <t>subject09</t>
        </is>
      </c>
      <c r="B689" t="n">
        <v>28</v>
      </c>
      <c r="C689" t="n">
        <v>135</v>
      </c>
      <c r="D689" t="n">
        <v>155</v>
      </c>
      <c r="E689" t="n">
        <v>1.3905</v>
      </c>
      <c r="F689" t="n">
        <v>83.43000000000001</v>
      </c>
      <c r="G689">
        <f>H689/60</f>
        <v/>
      </c>
      <c r="H689">
        <f>MEDIAN(I687,I688,I689,I690,I691)</f>
        <v/>
      </c>
      <c r="I689" t="n">
        <v>84</v>
      </c>
      <c r="J689">
        <f>H689-F689</f>
        <v/>
      </c>
      <c r="K689">
        <f>ABS(J689)</f>
        <v/>
      </c>
      <c r="L689">
        <f>K689/F689*100</f>
        <v/>
      </c>
    </row>
    <row r="690">
      <c r="A690" t="inlineStr">
        <is>
          <t>subject09</t>
        </is>
      </c>
      <c r="B690" t="n">
        <v>29</v>
      </c>
      <c r="C690" t="n">
        <v>140</v>
      </c>
      <c r="D690" t="n">
        <v>160</v>
      </c>
      <c r="E690" t="n">
        <v>1.3939</v>
      </c>
      <c r="F690" t="n">
        <v>83.63</v>
      </c>
      <c r="G690">
        <f>H690/60</f>
        <v/>
      </c>
      <c r="H690">
        <f>MEDIAN(I688,I689,I690,I691,I692)</f>
        <v/>
      </c>
      <c r="I690" t="n">
        <v>81</v>
      </c>
      <c r="J690">
        <f>H690-F690</f>
        <v/>
      </c>
      <c r="K690">
        <f>ABS(J690)</f>
        <v/>
      </c>
      <c r="L690">
        <f>K690/F690*100</f>
        <v/>
      </c>
    </row>
    <row r="691">
      <c r="A691" t="inlineStr">
        <is>
          <t>subject09</t>
        </is>
      </c>
      <c r="B691" t="n">
        <v>30</v>
      </c>
      <c r="C691" t="n">
        <v>145</v>
      </c>
      <c r="D691" t="n">
        <v>165</v>
      </c>
      <c r="E691" t="n">
        <v>1.3827</v>
      </c>
      <c r="F691" t="n">
        <v>82.95999999999999</v>
      </c>
      <c r="G691">
        <f>H691/60</f>
        <v/>
      </c>
      <c r="H691">
        <f>MEDIAN(I689,I690,I691,I692,I693)</f>
        <v/>
      </c>
      <c r="I691" t="n">
        <v>84</v>
      </c>
      <c r="J691">
        <f>H691-F691</f>
        <v/>
      </c>
      <c r="K691">
        <f>ABS(J691)</f>
        <v/>
      </c>
      <c r="L691">
        <f>K691/F691*100</f>
        <v/>
      </c>
    </row>
    <row r="692">
      <c r="A692" t="inlineStr">
        <is>
          <t>subject09</t>
        </is>
      </c>
      <c r="B692" t="n">
        <v>31</v>
      </c>
      <c r="C692" t="n">
        <v>150</v>
      </c>
      <c r="D692" t="n">
        <v>170</v>
      </c>
      <c r="E692" t="n">
        <v>1.3949</v>
      </c>
      <c r="F692" t="n">
        <v>83.69</v>
      </c>
      <c r="G692">
        <f>H692/60</f>
        <v/>
      </c>
      <c r="H692">
        <f>MEDIAN(I690,I691,I692,I693,I694)</f>
        <v/>
      </c>
      <c r="I692" t="n">
        <v>84</v>
      </c>
      <c r="J692">
        <f>H692-F692</f>
        <v/>
      </c>
      <c r="K692">
        <f>ABS(J692)</f>
        <v/>
      </c>
      <c r="L692">
        <f>K692/F692*100</f>
        <v/>
      </c>
    </row>
    <row r="693">
      <c r="A693" t="inlineStr">
        <is>
          <t>subject09</t>
        </is>
      </c>
      <c r="B693" t="n">
        <v>32</v>
      </c>
      <c r="C693" t="n">
        <v>155</v>
      </c>
      <c r="D693" t="n">
        <v>175</v>
      </c>
      <c r="E693" t="n">
        <v>1.3839</v>
      </c>
      <c r="F693" t="n">
        <v>83.04000000000001</v>
      </c>
      <c r="G693">
        <f>H693/60</f>
        <v/>
      </c>
      <c r="H693">
        <f>MEDIAN(I691,I692,I693,I694,I695)</f>
        <v/>
      </c>
      <c r="I693" t="n">
        <v>84</v>
      </c>
      <c r="J693">
        <f>H693-F693</f>
        <v/>
      </c>
      <c r="K693">
        <f>ABS(J693)</f>
        <v/>
      </c>
      <c r="L693">
        <f>K693/F693*100</f>
        <v/>
      </c>
    </row>
    <row r="694">
      <c r="A694" t="inlineStr">
        <is>
          <t>subject09</t>
        </is>
      </c>
      <c r="B694" t="n">
        <v>33</v>
      </c>
      <c r="C694" t="n">
        <v>160</v>
      </c>
      <c r="D694" t="n">
        <v>180</v>
      </c>
      <c r="E694" t="n">
        <v>1.3842</v>
      </c>
      <c r="F694" t="n">
        <v>83.05</v>
      </c>
      <c r="G694">
        <f>H694/60</f>
        <v/>
      </c>
      <c r="H694">
        <f>MEDIAN(I692,I693,I694,I695,I696)</f>
        <v/>
      </c>
      <c r="I694" t="n">
        <v>84</v>
      </c>
      <c r="J694">
        <f>H694-F694</f>
        <v/>
      </c>
      <c r="K694">
        <f>ABS(J694)</f>
        <v/>
      </c>
      <c r="L694">
        <f>K694/F694*100</f>
        <v/>
      </c>
    </row>
    <row r="695">
      <c r="A695" t="inlineStr">
        <is>
          <t>subject09</t>
        </is>
      </c>
      <c r="B695" t="n">
        <v>34</v>
      </c>
      <c r="C695" t="n">
        <v>165</v>
      </c>
      <c r="D695" t="n">
        <v>185</v>
      </c>
      <c r="E695" t="n">
        <v>1.3749</v>
      </c>
      <c r="F695" t="n">
        <v>82.48999999999999</v>
      </c>
      <c r="G695">
        <f>H695/60</f>
        <v/>
      </c>
      <c r="H695">
        <f>MEDIAN(I693,I694,I695,I696,I697)</f>
        <v/>
      </c>
      <c r="I695" t="n">
        <v>84</v>
      </c>
      <c r="J695">
        <f>H695-F695</f>
        <v/>
      </c>
      <c r="K695">
        <f>ABS(J695)</f>
        <v/>
      </c>
      <c r="L695">
        <f>K695/F695*100</f>
        <v/>
      </c>
    </row>
    <row r="696">
      <c r="A696" t="inlineStr">
        <is>
          <t>subject09</t>
        </is>
      </c>
      <c r="B696" t="n">
        <v>35</v>
      </c>
      <c r="C696" t="n">
        <v>170</v>
      </c>
      <c r="D696" t="n">
        <v>190</v>
      </c>
      <c r="E696" t="n">
        <v>1.3726</v>
      </c>
      <c r="F696" t="n">
        <v>82.36</v>
      </c>
      <c r="G696">
        <f>H696/60</f>
        <v/>
      </c>
      <c r="H696">
        <f>MEDIAN(I694,I695,I696,I697,I698)</f>
        <v/>
      </c>
      <c r="I696" t="n">
        <v>84</v>
      </c>
      <c r="J696">
        <f>H696-F696</f>
        <v/>
      </c>
      <c r="K696">
        <f>ABS(J696)</f>
        <v/>
      </c>
      <c r="L696">
        <f>K696/F696*100</f>
        <v/>
      </c>
    </row>
    <row r="697">
      <c r="A697" t="inlineStr">
        <is>
          <t>subject09</t>
        </is>
      </c>
      <c r="B697" t="n">
        <v>36</v>
      </c>
      <c r="C697" t="n">
        <v>175</v>
      </c>
      <c r="D697" t="n">
        <v>195</v>
      </c>
      <c r="E697" t="n">
        <v>1.3848</v>
      </c>
      <c r="F697" t="n">
        <v>83.09</v>
      </c>
      <c r="G697">
        <f>H697/60</f>
        <v/>
      </c>
      <c r="H697">
        <f>MEDIAN(I695,I696,I697,I698,I699)</f>
        <v/>
      </c>
      <c r="I697" t="n">
        <v>81</v>
      </c>
      <c r="J697">
        <f>H697-F697</f>
        <v/>
      </c>
      <c r="K697">
        <f>ABS(J697)</f>
        <v/>
      </c>
      <c r="L697">
        <f>K697/F697*100</f>
        <v/>
      </c>
    </row>
    <row r="698">
      <c r="A698" t="inlineStr">
        <is>
          <t>subject09</t>
        </is>
      </c>
      <c r="B698" t="n">
        <v>37</v>
      </c>
      <c r="C698" t="n">
        <v>180</v>
      </c>
      <c r="D698" t="n">
        <v>200</v>
      </c>
      <c r="E698" t="n">
        <v>1.3783</v>
      </c>
      <c r="F698" t="n">
        <v>82.7</v>
      </c>
      <c r="G698">
        <f>H698/60</f>
        <v/>
      </c>
      <c r="H698">
        <f>MEDIAN(I696,I697,I698,I699,I700)</f>
        <v/>
      </c>
      <c r="I698" t="n">
        <v>84</v>
      </c>
      <c r="J698">
        <f>H698-F698</f>
        <v/>
      </c>
      <c r="K698">
        <f>ABS(J698)</f>
        <v/>
      </c>
      <c r="L698">
        <f>K698/F698*100</f>
        <v/>
      </c>
    </row>
    <row r="699">
      <c r="A699" t="inlineStr">
        <is>
          <t>subject09</t>
        </is>
      </c>
      <c r="B699" t="n">
        <v>38</v>
      </c>
      <c r="C699" t="n">
        <v>185</v>
      </c>
      <c r="D699" t="n">
        <v>205</v>
      </c>
      <c r="E699" t="n">
        <v>1.41</v>
      </c>
      <c r="F699" t="n">
        <v>84.59999999999999</v>
      </c>
      <c r="G699">
        <f>H699/60</f>
        <v/>
      </c>
      <c r="H699">
        <f>MEDIAN(I697,I698,I699,I700,I701)</f>
        <v/>
      </c>
      <c r="I699" t="n">
        <v>81</v>
      </c>
      <c r="J699">
        <f>H699-F699</f>
        <v/>
      </c>
      <c r="K699">
        <f>ABS(J699)</f>
        <v/>
      </c>
      <c r="L699">
        <f>K699/F699*100</f>
        <v/>
      </c>
    </row>
    <row r="700">
      <c r="A700" t="inlineStr">
        <is>
          <t>subject09</t>
        </is>
      </c>
      <c r="B700" t="n">
        <v>39</v>
      </c>
      <c r="C700" t="n">
        <v>190</v>
      </c>
      <c r="D700" t="n">
        <v>210</v>
      </c>
      <c r="E700" t="n">
        <v>1.4159</v>
      </c>
      <c r="F700" t="n">
        <v>84.95</v>
      </c>
      <c r="G700">
        <f>H700/60</f>
        <v/>
      </c>
      <c r="H700">
        <f>MEDIAN(I698,I699,I700,I701,I702)</f>
        <v/>
      </c>
      <c r="I700" t="n">
        <v>87</v>
      </c>
      <c r="J700">
        <f>H700-F700</f>
        <v/>
      </c>
      <c r="K700">
        <f>ABS(J700)</f>
        <v/>
      </c>
      <c r="L700">
        <f>K700/F700*100</f>
        <v/>
      </c>
    </row>
    <row r="701">
      <c r="A701" t="inlineStr">
        <is>
          <t>subject09</t>
        </is>
      </c>
      <c r="B701" t="n">
        <v>40</v>
      </c>
      <c r="C701" t="n">
        <v>195</v>
      </c>
      <c r="D701" t="n">
        <v>215</v>
      </c>
      <c r="E701" t="n">
        <v>1.4262</v>
      </c>
      <c r="F701" t="n">
        <v>85.56999999999999</v>
      </c>
      <c r="G701">
        <f>H701/60</f>
        <v/>
      </c>
      <c r="H701">
        <f>MEDIAN(I699,I700,I701,I702,I703)</f>
        <v/>
      </c>
      <c r="I701" t="n">
        <v>87</v>
      </c>
      <c r="J701">
        <f>H701-F701</f>
        <v/>
      </c>
      <c r="K701">
        <f>ABS(J701)</f>
        <v/>
      </c>
      <c r="L701">
        <f>K701/F701*100</f>
        <v/>
      </c>
    </row>
    <row r="702">
      <c r="A702" t="inlineStr">
        <is>
          <t>subject09</t>
        </is>
      </c>
      <c r="B702" t="n">
        <v>41</v>
      </c>
      <c r="C702" t="n">
        <v>200</v>
      </c>
      <c r="D702" t="n">
        <v>220</v>
      </c>
      <c r="E702" t="n">
        <v>1.4569</v>
      </c>
      <c r="F702" t="n">
        <v>87.41</v>
      </c>
      <c r="G702">
        <f>H702/60</f>
        <v/>
      </c>
      <c r="H702">
        <f>MEDIAN(I700,I701,I702,I703,I704)</f>
        <v/>
      </c>
      <c r="I702" t="n">
        <v>87</v>
      </c>
      <c r="J702">
        <f>H702-F702</f>
        <v/>
      </c>
      <c r="K702">
        <f>ABS(J702)</f>
        <v/>
      </c>
      <c r="L702">
        <f>K702/F702*100</f>
        <v/>
      </c>
    </row>
    <row r="703">
      <c r="A703" t="inlineStr">
        <is>
          <t>subject09</t>
        </is>
      </c>
      <c r="B703" t="n">
        <v>42</v>
      </c>
      <c r="C703" t="n">
        <v>205</v>
      </c>
      <c r="D703" t="n">
        <v>225</v>
      </c>
      <c r="E703" t="n">
        <v>1.4476</v>
      </c>
      <c r="F703" t="n">
        <v>86.86</v>
      </c>
      <c r="G703">
        <f>H703/60</f>
        <v/>
      </c>
      <c r="H703">
        <f>MEDIAN(I701,I702,I703,I704,I705)</f>
        <v/>
      </c>
      <c r="I703" t="n">
        <v>90</v>
      </c>
      <c r="J703">
        <f>H703-F703</f>
        <v/>
      </c>
      <c r="K703">
        <f>ABS(J703)</f>
        <v/>
      </c>
      <c r="L703">
        <f>K703/F703*100</f>
        <v/>
      </c>
    </row>
    <row r="704">
      <c r="A704" t="inlineStr">
        <is>
          <t>subject09</t>
        </is>
      </c>
      <c r="B704" t="n">
        <v>43</v>
      </c>
      <c r="C704" t="n">
        <v>210</v>
      </c>
      <c r="D704" t="n">
        <v>230</v>
      </c>
      <c r="E704" t="n">
        <v>1.4686</v>
      </c>
      <c r="F704" t="n">
        <v>88.12</v>
      </c>
      <c r="G704">
        <f>H704/60</f>
        <v/>
      </c>
      <c r="H704">
        <f>MEDIAN(I702,I703,I704,I705,I706)</f>
        <v/>
      </c>
      <c r="I704" t="n">
        <v>87</v>
      </c>
      <c r="J704">
        <f>H704-F704</f>
        <v/>
      </c>
      <c r="K704">
        <f>ABS(J704)</f>
        <v/>
      </c>
      <c r="L704">
        <f>K704/F704*100</f>
        <v/>
      </c>
    </row>
    <row r="705">
      <c r="A705" t="inlineStr">
        <is>
          <t>subject09</t>
        </is>
      </c>
      <c r="B705" t="n">
        <v>44</v>
      </c>
      <c r="C705" t="n">
        <v>215</v>
      </c>
      <c r="D705" t="n">
        <v>235</v>
      </c>
      <c r="E705" t="n">
        <v>1.4589</v>
      </c>
      <c r="F705" t="n">
        <v>87.54000000000001</v>
      </c>
      <c r="G705">
        <f>H705/60</f>
        <v/>
      </c>
      <c r="H705">
        <f>MEDIAN(I703,I704,I705,I706,I707)</f>
        <v/>
      </c>
      <c r="I705" t="n">
        <v>87</v>
      </c>
      <c r="J705">
        <f>H705-F705</f>
        <v/>
      </c>
      <c r="K705">
        <f>ABS(J705)</f>
        <v/>
      </c>
      <c r="L705">
        <f>K705/F705*100</f>
        <v/>
      </c>
    </row>
    <row r="706">
      <c r="A706" t="inlineStr">
        <is>
          <t>subject09</t>
        </is>
      </c>
      <c r="B706" t="n">
        <v>45</v>
      </c>
      <c r="C706" t="n">
        <v>220</v>
      </c>
      <c r="D706" t="n">
        <v>240</v>
      </c>
      <c r="E706" t="n">
        <v>1.4455</v>
      </c>
      <c r="F706" t="n">
        <v>86.73</v>
      </c>
      <c r="G706">
        <f>H706/60</f>
        <v/>
      </c>
      <c r="H706">
        <f>MEDIAN(I704,I705,I706,I707,I708)</f>
        <v/>
      </c>
      <c r="I706" t="n">
        <v>87</v>
      </c>
      <c r="J706">
        <f>H706-F706</f>
        <v/>
      </c>
      <c r="K706">
        <f>ABS(J706)</f>
        <v/>
      </c>
      <c r="L706">
        <f>K706/F706*100</f>
        <v/>
      </c>
    </row>
    <row r="707">
      <c r="A707" t="inlineStr">
        <is>
          <t>subject09</t>
        </is>
      </c>
      <c r="B707" t="n">
        <v>46</v>
      </c>
      <c r="C707" t="n">
        <v>225</v>
      </c>
      <c r="D707" t="n">
        <v>245</v>
      </c>
      <c r="E707" t="n">
        <v>1.4369</v>
      </c>
      <c r="F707" t="n">
        <v>86.22</v>
      </c>
      <c r="G707">
        <f>H707/60</f>
        <v/>
      </c>
      <c r="H707">
        <f>MEDIAN(I705,I706,I707,I708,I709)</f>
        <v/>
      </c>
      <c r="I707" t="n">
        <v>93</v>
      </c>
      <c r="J707">
        <f>H707-F707</f>
        <v/>
      </c>
      <c r="K707">
        <f>ABS(J707)</f>
        <v/>
      </c>
      <c r="L707">
        <f>K707/F707*100</f>
        <v/>
      </c>
    </row>
    <row r="708">
      <c r="A708" t="inlineStr">
        <is>
          <t>subject09</t>
        </is>
      </c>
      <c r="B708" t="n">
        <v>47</v>
      </c>
      <c r="C708" t="n">
        <v>230</v>
      </c>
      <c r="D708" t="n">
        <v>250</v>
      </c>
      <c r="E708" t="n">
        <v>1.4052</v>
      </c>
      <c r="F708" t="n">
        <v>84.31</v>
      </c>
      <c r="G708">
        <f>H708/60</f>
        <v/>
      </c>
      <c r="H708">
        <f>MEDIAN(I706,I707,I708,I709,I710)</f>
        <v/>
      </c>
      <c r="I708" t="n">
        <v>93</v>
      </c>
      <c r="J708">
        <f>H708-F708</f>
        <v/>
      </c>
      <c r="K708">
        <f>ABS(J708)</f>
        <v/>
      </c>
      <c r="L708">
        <f>K708/F708*100</f>
        <v/>
      </c>
    </row>
    <row r="709">
      <c r="A709" t="inlineStr">
        <is>
          <t>subject09</t>
        </is>
      </c>
      <c r="B709" t="n">
        <v>48</v>
      </c>
      <c r="C709" t="n">
        <v>235</v>
      </c>
      <c r="D709" t="n">
        <v>255</v>
      </c>
      <c r="E709" t="n">
        <v>1.4035</v>
      </c>
      <c r="F709" t="n">
        <v>84.20999999999999</v>
      </c>
      <c r="G709">
        <f>H709/60</f>
        <v/>
      </c>
      <c r="H709">
        <f>MEDIAN(I707,I708,I709,I710,I711)</f>
        <v/>
      </c>
      <c r="I709" t="n">
        <v>93</v>
      </c>
      <c r="J709">
        <f>H709-F709</f>
        <v/>
      </c>
      <c r="K709">
        <f>ABS(J709)</f>
        <v/>
      </c>
      <c r="L709">
        <f>K709/F709*100</f>
        <v/>
      </c>
    </row>
    <row r="710">
      <c r="A710" t="inlineStr">
        <is>
          <t>subject09</t>
        </is>
      </c>
      <c r="B710" t="n">
        <v>49</v>
      </c>
      <c r="C710" t="n">
        <v>240</v>
      </c>
      <c r="D710" t="n">
        <v>260</v>
      </c>
      <c r="E710" t="n">
        <v>1.384</v>
      </c>
      <c r="F710" t="n">
        <v>83.04000000000001</v>
      </c>
      <c r="G710">
        <f>H710/60</f>
        <v/>
      </c>
      <c r="H710">
        <f>MEDIAN(I708,I709,I710,I711,I712)</f>
        <v/>
      </c>
      <c r="I710" t="n">
        <v>75</v>
      </c>
      <c r="J710">
        <f>H710-F710</f>
        <v/>
      </c>
      <c r="K710">
        <f>ABS(J710)</f>
        <v/>
      </c>
      <c r="L710">
        <f>K710/F710*100</f>
        <v/>
      </c>
    </row>
    <row r="711">
      <c r="A711" t="inlineStr">
        <is>
          <t>subject09</t>
        </is>
      </c>
      <c r="B711" t="n">
        <v>50</v>
      </c>
      <c r="C711" t="n">
        <v>245</v>
      </c>
      <c r="D711" t="n">
        <v>265</v>
      </c>
      <c r="E711" t="n">
        <v>1.392</v>
      </c>
      <c r="F711" t="n">
        <v>83.52</v>
      </c>
      <c r="G711">
        <f>H711/60</f>
        <v/>
      </c>
      <c r="H711">
        <f>MEDIAN(I709,I710,I711,I712,I713)</f>
        <v/>
      </c>
      <c r="I711" t="n">
        <v>81</v>
      </c>
      <c r="J711">
        <f>H711-F711</f>
        <v/>
      </c>
      <c r="K711">
        <f>ABS(J711)</f>
        <v/>
      </c>
      <c r="L711">
        <f>K711/F711*100</f>
        <v/>
      </c>
    </row>
    <row r="712">
      <c r="A712" t="inlineStr">
        <is>
          <t>subject09</t>
        </is>
      </c>
      <c r="B712" t="n">
        <v>51</v>
      </c>
      <c r="C712" t="n">
        <v>250</v>
      </c>
      <c r="D712" t="n">
        <v>270</v>
      </c>
      <c r="E712" t="n">
        <v>1.414</v>
      </c>
      <c r="F712" t="n">
        <v>84.84</v>
      </c>
      <c r="G712">
        <f>H712/60</f>
        <v/>
      </c>
      <c r="H712">
        <f>MEDIAN(I710,I711,I712,I713,I714)</f>
        <v/>
      </c>
      <c r="I712" t="n">
        <v>87</v>
      </c>
      <c r="J712">
        <f>H712-F712</f>
        <v/>
      </c>
      <c r="K712">
        <f>ABS(J712)</f>
        <v/>
      </c>
      <c r="L712">
        <f>K712/F712*100</f>
        <v/>
      </c>
    </row>
    <row r="713">
      <c r="A713" t="inlineStr">
        <is>
          <t>subject09</t>
        </is>
      </c>
      <c r="B713" t="n">
        <v>52</v>
      </c>
      <c r="C713" t="n">
        <v>255</v>
      </c>
      <c r="D713" t="n">
        <v>275</v>
      </c>
      <c r="E713" t="n">
        <v>1.425</v>
      </c>
      <c r="F713" t="n">
        <v>85.5</v>
      </c>
      <c r="G713">
        <f>H713/60</f>
        <v/>
      </c>
      <c r="H713">
        <f>MEDIAN(I711,I712,I713,I714,I715)</f>
        <v/>
      </c>
      <c r="I713" t="n">
        <v>87</v>
      </c>
      <c r="J713">
        <f>H713-F713</f>
        <v/>
      </c>
      <c r="K713">
        <f>ABS(J713)</f>
        <v/>
      </c>
      <c r="L713">
        <f>K713/F713*100</f>
        <v/>
      </c>
    </row>
    <row r="714">
      <c r="A714" t="inlineStr">
        <is>
          <t>subject09</t>
        </is>
      </c>
      <c r="B714" t="n">
        <v>53</v>
      </c>
      <c r="C714" t="n">
        <v>260</v>
      </c>
      <c r="D714" t="n">
        <v>280</v>
      </c>
      <c r="E714" t="n">
        <v>1.438</v>
      </c>
      <c r="F714" t="n">
        <v>86.28</v>
      </c>
      <c r="G714">
        <f>H714/60</f>
        <v/>
      </c>
      <c r="H714">
        <f>MEDIAN(I712,I713,I714,I715,I716)</f>
        <v/>
      </c>
      <c r="I714" t="n">
        <v>87</v>
      </c>
      <c r="J714">
        <f>H714-F714</f>
        <v/>
      </c>
      <c r="K714">
        <f>ABS(J714)</f>
        <v/>
      </c>
      <c r="L714">
        <f>K714/F714*100</f>
        <v/>
      </c>
    </row>
    <row r="715">
      <c r="A715" t="inlineStr">
        <is>
          <t>subject09</t>
        </is>
      </c>
      <c r="B715" t="n">
        <v>54</v>
      </c>
      <c r="C715" t="n">
        <v>265</v>
      </c>
      <c r="D715" t="n">
        <v>285</v>
      </c>
      <c r="E715" t="n">
        <v>1.4485</v>
      </c>
      <c r="F715" t="n">
        <v>86.91</v>
      </c>
      <c r="G715">
        <f>H715/60</f>
        <v/>
      </c>
      <c r="H715">
        <f>MEDIAN(I713,I714,I715,I716,I717)</f>
        <v/>
      </c>
      <c r="I715" t="n">
        <v>90</v>
      </c>
      <c r="J715">
        <f>H715-F715</f>
        <v/>
      </c>
      <c r="K715">
        <f>ABS(J715)</f>
        <v/>
      </c>
      <c r="L715">
        <f>K715/F715*100</f>
        <v/>
      </c>
    </row>
    <row r="716">
      <c r="A716" t="inlineStr">
        <is>
          <t>subject09</t>
        </is>
      </c>
      <c r="B716" t="n">
        <v>55</v>
      </c>
      <c r="C716" t="n">
        <v>270</v>
      </c>
      <c r="D716" t="n">
        <v>290</v>
      </c>
      <c r="E716" t="n">
        <v>1.4481</v>
      </c>
      <c r="F716" t="n">
        <v>86.89</v>
      </c>
      <c r="G716">
        <f>H716/60</f>
        <v/>
      </c>
      <c r="H716">
        <f>MEDIAN(I714,I715,I716,I717,I718)</f>
        <v/>
      </c>
      <c r="I716" t="n">
        <v>66</v>
      </c>
      <c r="J716">
        <f>H716-F716</f>
        <v/>
      </c>
      <c r="K716">
        <f>ABS(J716)</f>
        <v/>
      </c>
      <c r="L716">
        <f>K716/F716*100</f>
        <v/>
      </c>
    </row>
    <row r="717">
      <c r="A717" t="inlineStr">
        <is>
          <t>subject09</t>
        </is>
      </c>
      <c r="B717" t="n">
        <v>56</v>
      </c>
      <c r="C717" t="n">
        <v>275</v>
      </c>
      <c r="D717" t="n">
        <v>295</v>
      </c>
      <c r="E717" t="n">
        <v>1.4463</v>
      </c>
      <c r="F717" t="n">
        <v>86.78</v>
      </c>
      <c r="G717">
        <f>H717/60</f>
        <v/>
      </c>
      <c r="H717">
        <f>MEDIAN(I715,I716,I717,I718,I719)</f>
        <v/>
      </c>
      <c r="I717" t="n">
        <v>90</v>
      </c>
      <c r="J717">
        <f>H717-F717</f>
        <v/>
      </c>
      <c r="K717">
        <f>ABS(J717)</f>
        <v/>
      </c>
      <c r="L717">
        <f>K717/F717*100</f>
        <v/>
      </c>
    </row>
    <row r="718">
      <c r="A718" t="inlineStr">
        <is>
          <t>subject09</t>
        </is>
      </c>
      <c r="B718" t="n">
        <v>57</v>
      </c>
      <c r="C718" t="n">
        <v>280</v>
      </c>
      <c r="D718" t="n">
        <v>300</v>
      </c>
      <c r="E718" t="n">
        <v>1.4457</v>
      </c>
      <c r="F718" t="n">
        <v>86.73999999999999</v>
      </c>
      <c r="G718">
        <f>H718/60</f>
        <v/>
      </c>
      <c r="H718">
        <f>MEDIAN(I716,I717,I718,I719,I720)</f>
        <v/>
      </c>
      <c r="I718" t="n">
        <v>84</v>
      </c>
      <c r="J718">
        <f>H718-F718</f>
        <v/>
      </c>
      <c r="K718">
        <f>ABS(J718)</f>
        <v/>
      </c>
      <c r="L718">
        <f>K718/F718*100</f>
        <v/>
      </c>
    </row>
    <row r="719">
      <c r="A719" t="inlineStr">
        <is>
          <t>subject09</t>
        </is>
      </c>
      <c r="B719" t="n">
        <v>58</v>
      </c>
      <c r="C719" t="n">
        <v>285</v>
      </c>
      <c r="D719" t="n">
        <v>305</v>
      </c>
      <c r="E719" t="n">
        <v>1.4223</v>
      </c>
      <c r="F719" t="n">
        <v>85.34</v>
      </c>
      <c r="G719">
        <f>H719/60</f>
        <v/>
      </c>
      <c r="H719">
        <f>MEDIAN(I717,I718,I719,I720,I721)</f>
        <v/>
      </c>
      <c r="I719" t="n">
        <v>84</v>
      </c>
      <c r="J719">
        <f>H719-F719</f>
        <v/>
      </c>
      <c r="K719">
        <f>ABS(J719)</f>
        <v/>
      </c>
      <c r="L719">
        <f>K719/F719*100</f>
        <v/>
      </c>
    </row>
    <row r="720">
      <c r="A720" t="inlineStr">
        <is>
          <t>subject09</t>
        </is>
      </c>
      <c r="B720" t="n">
        <v>59</v>
      </c>
      <c r="C720" t="n">
        <v>290</v>
      </c>
      <c r="D720" t="n">
        <v>310</v>
      </c>
      <c r="E720" t="n">
        <v>1.4263</v>
      </c>
      <c r="F720" t="n">
        <v>85.58</v>
      </c>
      <c r="G720">
        <f>H720/60</f>
        <v/>
      </c>
      <c r="H720">
        <f>MEDIAN(I718,I719,I720,I721,I722)</f>
        <v/>
      </c>
      <c r="I720" t="n">
        <v>78</v>
      </c>
      <c r="J720">
        <f>H720-F720</f>
        <v/>
      </c>
      <c r="K720">
        <f>ABS(J720)</f>
        <v/>
      </c>
      <c r="L720">
        <f>K720/F720*100</f>
        <v/>
      </c>
    </row>
    <row r="721">
      <c r="A721" t="inlineStr">
        <is>
          <t>subject09</t>
        </is>
      </c>
      <c r="B721" t="n">
        <v>60</v>
      </c>
      <c r="C721" t="n">
        <v>295</v>
      </c>
      <c r="D721" t="n">
        <v>315</v>
      </c>
      <c r="E721" t="n">
        <v>1.4183</v>
      </c>
      <c r="F721" t="n">
        <v>85.09999999999999</v>
      </c>
      <c r="G721">
        <f>H721/60</f>
        <v/>
      </c>
      <c r="H721">
        <f>MEDIAN(I719,I720,I721,I722,I723)</f>
        <v/>
      </c>
      <c r="I721" t="n">
        <v>84</v>
      </c>
      <c r="J721">
        <f>H721-F721</f>
        <v/>
      </c>
      <c r="K721">
        <f>ABS(J721)</f>
        <v/>
      </c>
      <c r="L721">
        <f>K721/F721*100</f>
        <v/>
      </c>
    </row>
    <row r="722">
      <c r="A722" t="inlineStr">
        <is>
          <t>subject09</t>
        </is>
      </c>
      <c r="B722" t="n">
        <v>61</v>
      </c>
      <c r="C722" t="n">
        <v>300</v>
      </c>
      <c r="D722" t="n">
        <v>320</v>
      </c>
      <c r="E722" t="n">
        <v>1.4372</v>
      </c>
      <c r="F722" t="n">
        <v>86.23</v>
      </c>
      <c r="G722">
        <f>H722/60</f>
        <v/>
      </c>
      <c r="H722">
        <f>MEDIAN(I720,I721,I722,I723,I724)</f>
        <v/>
      </c>
      <c r="I722" t="n">
        <v>87</v>
      </c>
      <c r="J722">
        <f>H722-F722</f>
        <v/>
      </c>
      <c r="K722">
        <f>ABS(J722)</f>
        <v/>
      </c>
      <c r="L722">
        <f>K722/F722*100</f>
        <v/>
      </c>
    </row>
    <row r="723">
      <c r="A723" t="inlineStr">
        <is>
          <t>subject09</t>
        </is>
      </c>
      <c r="B723" t="n">
        <v>62</v>
      </c>
      <c r="C723" t="n">
        <v>305</v>
      </c>
      <c r="D723" t="n">
        <v>325</v>
      </c>
      <c r="E723" t="n">
        <v>1.4447</v>
      </c>
      <c r="F723" t="n">
        <v>86.68000000000001</v>
      </c>
      <c r="G723">
        <f>H723/60</f>
        <v/>
      </c>
      <c r="H723">
        <f>MEDIAN(I721,I722,I723,I724,I725)</f>
        <v/>
      </c>
      <c r="I723" t="n">
        <v>72</v>
      </c>
      <c r="J723">
        <f>H723-F723</f>
        <v/>
      </c>
      <c r="K723">
        <f>ABS(J723)</f>
        <v/>
      </c>
      <c r="L723">
        <f>K723/F723*100</f>
        <v/>
      </c>
    </row>
    <row r="724">
      <c r="A724" t="inlineStr">
        <is>
          <t>subject09</t>
        </is>
      </c>
      <c r="B724" t="n">
        <v>63</v>
      </c>
      <c r="C724" t="n">
        <v>310</v>
      </c>
      <c r="D724" t="n">
        <v>330</v>
      </c>
      <c r="E724" t="n">
        <v>1.4401</v>
      </c>
      <c r="F724" t="n">
        <v>86.41</v>
      </c>
      <c r="G724">
        <f>H724/60</f>
        <v/>
      </c>
      <c r="H724">
        <f>MEDIAN(I722,I723,I724,I725,I726)</f>
        <v/>
      </c>
      <c r="I724" t="n">
        <v>75</v>
      </c>
      <c r="J724">
        <f>H724-F724</f>
        <v/>
      </c>
      <c r="K724">
        <f>ABS(J724)</f>
        <v/>
      </c>
      <c r="L724">
        <f>K724/F724*100</f>
        <v/>
      </c>
    </row>
    <row r="725">
      <c r="A725" t="inlineStr">
        <is>
          <t>subject09</t>
        </is>
      </c>
      <c r="B725" t="n">
        <v>64</v>
      </c>
      <c r="C725" t="n">
        <v>315</v>
      </c>
      <c r="D725" t="n">
        <v>335</v>
      </c>
      <c r="E725" t="n">
        <v>1.4474</v>
      </c>
      <c r="F725" t="n">
        <v>86.84999999999999</v>
      </c>
      <c r="G725">
        <f>H725/60</f>
        <v/>
      </c>
      <c r="H725">
        <f>MEDIAN(I723,I724,I725,I726,I727)</f>
        <v/>
      </c>
      <c r="I725" t="n">
        <v>84</v>
      </c>
      <c r="J725">
        <f>H725-F725</f>
        <v/>
      </c>
      <c r="K725">
        <f>ABS(J725)</f>
        <v/>
      </c>
      <c r="L725">
        <f>K725/F725*100</f>
        <v/>
      </c>
    </row>
    <row r="726">
      <c r="A726" t="inlineStr">
        <is>
          <t>subject09</t>
        </is>
      </c>
      <c r="B726" t="n">
        <v>65</v>
      </c>
      <c r="C726" t="n">
        <v>320</v>
      </c>
      <c r="D726" t="n">
        <v>340</v>
      </c>
      <c r="E726" t="n">
        <v>1.4241</v>
      </c>
      <c r="F726" t="n">
        <v>85.44</v>
      </c>
      <c r="G726">
        <f>H726/60</f>
        <v/>
      </c>
      <c r="H726">
        <f>MEDIAN(I724,I725,I726,I727,I728)</f>
        <v/>
      </c>
      <c r="I726" t="n">
        <v>87</v>
      </c>
      <c r="J726">
        <f>H726-F726</f>
        <v/>
      </c>
      <c r="K726">
        <f>ABS(J726)</f>
        <v/>
      </c>
      <c r="L726">
        <f>K726/F726*100</f>
        <v/>
      </c>
    </row>
    <row r="727">
      <c r="A727" t="inlineStr">
        <is>
          <t>subject09</t>
        </is>
      </c>
      <c r="B727" t="n">
        <v>66</v>
      </c>
      <c r="C727" t="n">
        <v>325</v>
      </c>
      <c r="D727" t="n">
        <v>345</v>
      </c>
      <c r="E727" t="n">
        <v>1.4141</v>
      </c>
      <c r="F727" t="n">
        <v>84.84</v>
      </c>
      <c r="G727">
        <f>H727/60</f>
        <v/>
      </c>
      <c r="H727">
        <f>MEDIAN(I725,I726,I727,I728,I729)</f>
        <v/>
      </c>
      <c r="I727" t="n">
        <v>84</v>
      </c>
      <c r="J727">
        <f>H727-F727</f>
        <v/>
      </c>
      <c r="K727">
        <f>ABS(J727)</f>
        <v/>
      </c>
      <c r="L727">
        <f>K727/F727*100</f>
        <v/>
      </c>
    </row>
    <row r="728">
      <c r="A728" t="inlineStr">
        <is>
          <t>subject09</t>
        </is>
      </c>
      <c r="B728" t="n">
        <v>67</v>
      </c>
      <c r="C728" t="n">
        <v>330</v>
      </c>
      <c r="D728" t="n">
        <v>350</v>
      </c>
      <c r="E728" t="n">
        <v>1.4195</v>
      </c>
      <c r="F728" t="n">
        <v>85.17</v>
      </c>
      <c r="G728">
        <f>H728/60</f>
        <v/>
      </c>
      <c r="H728">
        <f>MEDIAN(I726,I727,I728,I729,I730)</f>
        <v/>
      </c>
      <c r="I728" t="n">
        <v>84</v>
      </c>
      <c r="J728">
        <f>H728-F728</f>
        <v/>
      </c>
      <c r="K728">
        <f>ABS(J728)</f>
        <v/>
      </c>
      <c r="L728">
        <f>K728/F728*100</f>
        <v/>
      </c>
    </row>
    <row r="729">
      <c r="A729" t="inlineStr">
        <is>
          <t>subject09</t>
        </is>
      </c>
      <c r="B729" t="n">
        <v>68</v>
      </c>
      <c r="C729" t="n">
        <v>335</v>
      </c>
      <c r="D729" t="n">
        <v>355</v>
      </c>
      <c r="E729" t="n">
        <v>1.4137</v>
      </c>
      <c r="F729" t="n">
        <v>84.81999999999999</v>
      </c>
      <c r="G729">
        <f>H729/60</f>
        <v/>
      </c>
      <c r="H729">
        <f>MEDIAN(I727,I728,I729,I730,I731)</f>
        <v/>
      </c>
      <c r="I729" t="n">
        <v>84</v>
      </c>
      <c r="J729">
        <f>H729-F729</f>
        <v/>
      </c>
      <c r="K729">
        <f>ABS(J729)</f>
        <v/>
      </c>
      <c r="L729">
        <f>K729/F729*100</f>
        <v/>
      </c>
    </row>
    <row r="730">
      <c r="A730" t="inlineStr">
        <is>
          <t>subject09</t>
        </is>
      </c>
      <c r="B730" t="n">
        <v>69</v>
      </c>
      <c r="C730" t="n">
        <v>340</v>
      </c>
      <c r="D730" t="n">
        <v>360</v>
      </c>
      <c r="E730" t="n">
        <v>1.4314</v>
      </c>
      <c r="F730" t="n">
        <v>85.88</v>
      </c>
      <c r="G730">
        <f>H730/60</f>
        <v/>
      </c>
      <c r="H730">
        <f>MEDIAN(I728,I729,I730,I731,I732)</f>
        <v/>
      </c>
      <c r="I730" t="n">
        <v>81</v>
      </c>
      <c r="J730">
        <f>H730-F730</f>
        <v/>
      </c>
      <c r="K730">
        <f>ABS(J730)</f>
        <v/>
      </c>
      <c r="L730">
        <f>K730/F730*100</f>
        <v/>
      </c>
    </row>
    <row r="731">
      <c r="A731" t="inlineStr">
        <is>
          <t>subject09</t>
        </is>
      </c>
      <c r="B731" t="n">
        <v>70</v>
      </c>
      <c r="C731" t="n">
        <v>345</v>
      </c>
      <c r="D731" t="n">
        <v>365</v>
      </c>
      <c r="E731" t="n">
        <v>1.4385</v>
      </c>
      <c r="F731" t="n">
        <v>86.31</v>
      </c>
      <c r="G731">
        <f>H731/60</f>
        <v/>
      </c>
      <c r="H731">
        <f>MEDIAN(I729,I730,I731,I732,I733)</f>
        <v/>
      </c>
      <c r="I731" t="n">
        <v>81</v>
      </c>
      <c r="J731">
        <f>H731-F731</f>
        <v/>
      </c>
      <c r="K731">
        <f>ABS(J731)</f>
        <v/>
      </c>
      <c r="L731">
        <f>K731/F731*100</f>
        <v/>
      </c>
    </row>
    <row r="732">
      <c r="A732" t="inlineStr">
        <is>
          <t>subject09</t>
        </is>
      </c>
      <c r="B732" t="n">
        <v>71</v>
      </c>
      <c r="C732" t="n">
        <v>350</v>
      </c>
      <c r="D732" t="n">
        <v>370</v>
      </c>
      <c r="E732" t="n">
        <v>1.4382</v>
      </c>
      <c r="F732" t="n">
        <v>86.29000000000001</v>
      </c>
      <c r="G732">
        <f>H732/60</f>
        <v/>
      </c>
      <c r="H732">
        <f>MEDIAN(I730,I731,I732,I733,I734)</f>
        <v/>
      </c>
      <c r="I732" t="n">
        <v>87</v>
      </c>
      <c r="J732">
        <f>H732-F732</f>
        <v/>
      </c>
      <c r="K732">
        <f>ABS(J732)</f>
        <v/>
      </c>
      <c r="L732">
        <f>K732/F732*100</f>
        <v/>
      </c>
    </row>
    <row r="733">
      <c r="A733" t="inlineStr">
        <is>
          <t>subject09</t>
        </is>
      </c>
      <c r="B733" t="n">
        <v>72</v>
      </c>
      <c r="C733" t="n">
        <v>355</v>
      </c>
      <c r="D733" t="n">
        <v>375</v>
      </c>
      <c r="E733" t="n">
        <v>1.4273</v>
      </c>
      <c r="F733" t="n">
        <v>85.64</v>
      </c>
      <c r="G733">
        <f>H733/60</f>
        <v/>
      </c>
      <c r="H733">
        <f>MEDIAN(I731,I732,I733,I734,I735)</f>
        <v/>
      </c>
      <c r="I733" t="n">
        <v>87</v>
      </c>
      <c r="J733">
        <f>H733-F733</f>
        <v/>
      </c>
      <c r="K733">
        <f>ABS(J733)</f>
        <v/>
      </c>
      <c r="L733">
        <f>K733/F733*100</f>
        <v/>
      </c>
    </row>
    <row r="734">
      <c r="A734" t="inlineStr">
        <is>
          <t>subject09</t>
        </is>
      </c>
      <c r="B734" t="n">
        <v>73</v>
      </c>
      <c r="C734" t="n">
        <v>360</v>
      </c>
      <c r="D734" t="n">
        <v>380</v>
      </c>
      <c r="E734" t="n">
        <v>1.394</v>
      </c>
      <c r="F734" t="n">
        <v>83.64</v>
      </c>
      <c r="G734">
        <f>H734/60</f>
        <v/>
      </c>
      <c r="H734">
        <f>MEDIAN(I732,I733,I734,I735,I736)</f>
        <v/>
      </c>
      <c r="I734" t="n">
        <v>84</v>
      </c>
      <c r="J734">
        <f>H734-F734</f>
        <v/>
      </c>
      <c r="K734">
        <f>ABS(J734)</f>
        <v/>
      </c>
      <c r="L734">
        <f>K734/F734*100</f>
        <v/>
      </c>
    </row>
    <row r="735">
      <c r="A735" t="inlineStr">
        <is>
          <t>subject09</t>
        </is>
      </c>
      <c r="B735" t="n">
        <v>74</v>
      </c>
      <c r="C735" t="n">
        <v>365</v>
      </c>
      <c r="D735" t="n">
        <v>385</v>
      </c>
      <c r="E735" t="n">
        <v>1.3996</v>
      </c>
      <c r="F735" t="n">
        <v>83.98</v>
      </c>
      <c r="G735">
        <f>H735/60</f>
        <v/>
      </c>
      <c r="H735">
        <f>MEDIAN(I733,I734,I735,I736,I737)</f>
        <v/>
      </c>
      <c r="I735" t="n">
        <v>81</v>
      </c>
      <c r="J735">
        <f>H735-F735</f>
        <v/>
      </c>
      <c r="K735">
        <f>ABS(J735)</f>
        <v/>
      </c>
      <c r="L735">
        <f>K735/F735*100</f>
        <v/>
      </c>
    </row>
    <row r="736">
      <c r="A736" t="inlineStr">
        <is>
          <t>subject09</t>
        </is>
      </c>
      <c r="B736" t="n">
        <v>75</v>
      </c>
      <c r="C736" t="n">
        <v>370</v>
      </c>
      <c r="D736" t="n">
        <v>390</v>
      </c>
      <c r="E736" t="n">
        <v>1.3731</v>
      </c>
      <c r="F736" t="n">
        <v>82.39</v>
      </c>
      <c r="G736">
        <f>H736/60</f>
        <v/>
      </c>
      <c r="H736">
        <f>MEDIAN(I734,I735,I736,I737,I738)</f>
        <v/>
      </c>
      <c r="I736" t="n">
        <v>81</v>
      </c>
      <c r="J736">
        <f>H736-F736</f>
        <v/>
      </c>
      <c r="K736">
        <f>ABS(J736)</f>
        <v/>
      </c>
      <c r="L736">
        <f>K736/F736*100</f>
        <v/>
      </c>
    </row>
    <row r="737">
      <c r="A737" t="inlineStr">
        <is>
          <t>subject09</t>
        </is>
      </c>
      <c r="B737" t="n">
        <v>76</v>
      </c>
      <c r="C737" t="n">
        <v>375</v>
      </c>
      <c r="D737" t="n">
        <v>395</v>
      </c>
      <c r="E737" t="n">
        <v>1.3834</v>
      </c>
      <c r="F737" t="n">
        <v>83</v>
      </c>
      <c r="G737">
        <f>H737/60</f>
        <v/>
      </c>
      <c r="H737">
        <f>MEDIAN(I735,I736,I737,I738,I739)</f>
        <v/>
      </c>
      <c r="I737" t="n">
        <v>78</v>
      </c>
      <c r="J737">
        <f>H737-F737</f>
        <v/>
      </c>
      <c r="K737">
        <f>ABS(J737)</f>
        <v/>
      </c>
      <c r="L737">
        <f>K737/F737*100</f>
        <v/>
      </c>
    </row>
    <row r="738">
      <c r="A738" t="inlineStr">
        <is>
          <t>subject09</t>
        </is>
      </c>
      <c r="B738" t="n">
        <v>77</v>
      </c>
      <c r="C738" t="n">
        <v>380</v>
      </c>
      <c r="D738" t="n">
        <v>400</v>
      </c>
      <c r="E738" t="n">
        <v>1.3924</v>
      </c>
      <c r="F738" t="n">
        <v>83.55</v>
      </c>
      <c r="G738">
        <f>H738/60</f>
        <v/>
      </c>
      <c r="H738">
        <f>MEDIAN(I736,I737,I738,I739,I740)</f>
        <v/>
      </c>
      <c r="I738" t="n">
        <v>84</v>
      </c>
      <c r="J738">
        <f>H738-F738</f>
        <v/>
      </c>
      <c r="K738">
        <f>ABS(J738)</f>
        <v/>
      </c>
      <c r="L738">
        <f>K738/F738*100</f>
        <v/>
      </c>
    </row>
    <row r="739">
      <c r="A739" t="inlineStr">
        <is>
          <t>subject09</t>
        </is>
      </c>
      <c r="B739" t="n">
        <v>78</v>
      </c>
      <c r="C739" t="n">
        <v>385</v>
      </c>
      <c r="D739" t="n">
        <v>405</v>
      </c>
      <c r="E739" t="n">
        <v>1.3817</v>
      </c>
      <c r="F739" t="n">
        <v>82.90000000000001</v>
      </c>
      <c r="G739">
        <f>H739/60</f>
        <v/>
      </c>
      <c r="H739">
        <f>MEDIAN(I737,I738,I739,I740,I741)</f>
        <v/>
      </c>
      <c r="I739" t="n">
        <v>84</v>
      </c>
      <c r="J739">
        <f>H739-F739</f>
        <v/>
      </c>
      <c r="K739">
        <f>ABS(J739)</f>
        <v/>
      </c>
      <c r="L739">
        <f>K739/F739*100</f>
        <v/>
      </c>
    </row>
    <row r="740">
      <c r="A740" t="inlineStr">
        <is>
          <t>subject09</t>
        </is>
      </c>
      <c r="B740" t="n">
        <v>79</v>
      </c>
      <c r="C740" t="n">
        <v>390</v>
      </c>
      <c r="D740" t="n">
        <v>410</v>
      </c>
      <c r="E740" t="n">
        <v>1.3853</v>
      </c>
      <c r="F740" t="n">
        <v>83.12</v>
      </c>
      <c r="G740">
        <f>H740/60</f>
        <v/>
      </c>
      <c r="H740">
        <f>MEDIAN(I738,I739,I740,I741,I742)</f>
        <v/>
      </c>
      <c r="I740" t="n">
        <v>96</v>
      </c>
      <c r="J740">
        <f>H740-F740</f>
        <v/>
      </c>
      <c r="K740">
        <f>ABS(J740)</f>
        <v/>
      </c>
      <c r="L740">
        <f>K740/F740*100</f>
        <v/>
      </c>
    </row>
    <row r="741">
      <c r="A741" t="inlineStr">
        <is>
          <t>subject09</t>
        </is>
      </c>
      <c r="B741" t="n">
        <v>80</v>
      </c>
      <c r="C741" t="n">
        <v>395</v>
      </c>
      <c r="D741" t="n">
        <v>415</v>
      </c>
      <c r="E741" t="n">
        <v>1.3863</v>
      </c>
      <c r="F741" t="n">
        <v>83.18000000000001</v>
      </c>
      <c r="G741">
        <f>H741/60</f>
        <v/>
      </c>
      <c r="H741">
        <f>MEDIAN(I739,I740,I741,I742,I743)</f>
        <v/>
      </c>
      <c r="I741" t="n">
        <v>84</v>
      </c>
      <c r="J741">
        <f>H741-F741</f>
        <v/>
      </c>
      <c r="K741">
        <f>ABS(J741)</f>
        <v/>
      </c>
      <c r="L741">
        <f>K741/F741*100</f>
        <v/>
      </c>
    </row>
    <row r="742">
      <c r="A742" t="inlineStr">
        <is>
          <t>subject09</t>
        </is>
      </c>
      <c r="B742" t="n">
        <v>81</v>
      </c>
      <c r="C742" t="n">
        <v>400</v>
      </c>
      <c r="D742" t="n">
        <v>420</v>
      </c>
      <c r="E742" t="n">
        <v>1.388</v>
      </c>
      <c r="F742" t="n">
        <v>83.28</v>
      </c>
      <c r="G742">
        <f>H742/60</f>
        <v/>
      </c>
      <c r="H742">
        <f>MEDIAN(I740,I741,I742,I743,I744)</f>
        <v/>
      </c>
      <c r="I742" t="n">
        <v>84</v>
      </c>
      <c r="J742">
        <f>H742-F742</f>
        <v/>
      </c>
      <c r="K742">
        <f>ABS(J742)</f>
        <v/>
      </c>
      <c r="L742">
        <f>K742/F742*100</f>
        <v/>
      </c>
    </row>
    <row r="743">
      <c r="A743" t="inlineStr">
        <is>
          <t>subject09</t>
        </is>
      </c>
      <c r="B743" t="n">
        <v>82</v>
      </c>
      <c r="C743" t="n">
        <v>405</v>
      </c>
      <c r="D743" t="n">
        <v>425</v>
      </c>
      <c r="E743" t="n">
        <v>1.3889</v>
      </c>
      <c r="F743" t="n">
        <v>83.33</v>
      </c>
      <c r="G743">
        <f>H743/60</f>
        <v/>
      </c>
      <c r="H743">
        <f>MEDIAN(I741,I742,I743,I744,I745)</f>
        <v/>
      </c>
      <c r="I743" t="n">
        <v>84</v>
      </c>
      <c r="J743">
        <f>H743-F743</f>
        <v/>
      </c>
      <c r="K743">
        <f>ABS(J743)</f>
        <v/>
      </c>
      <c r="L743">
        <f>K743/F743*100</f>
        <v/>
      </c>
    </row>
    <row r="744">
      <c r="A744" t="inlineStr">
        <is>
          <t>subject09</t>
        </is>
      </c>
      <c r="B744" t="n">
        <v>83</v>
      </c>
      <c r="C744" t="n">
        <v>410</v>
      </c>
      <c r="D744" t="n">
        <v>430</v>
      </c>
      <c r="E744" t="n">
        <v>1.3954</v>
      </c>
      <c r="F744" t="n">
        <v>83.73</v>
      </c>
      <c r="G744">
        <f>H744/60</f>
        <v/>
      </c>
      <c r="H744">
        <f>MEDIAN(I742,I743,I744,I745,0)</f>
        <v/>
      </c>
      <c r="I744" t="n">
        <v>81</v>
      </c>
      <c r="J744">
        <f>H744-F744</f>
        <v/>
      </c>
      <c r="K744">
        <f>ABS(J744)</f>
        <v/>
      </c>
      <c r="L744">
        <f>K744/F744*100</f>
        <v/>
      </c>
    </row>
    <row r="745">
      <c r="A745" t="inlineStr">
        <is>
          <t>subject09</t>
        </is>
      </c>
      <c r="B745" t="n">
        <v>84</v>
      </c>
      <c r="C745" t="n">
        <v>415</v>
      </c>
      <c r="D745" t="n">
        <v>435</v>
      </c>
      <c r="E745" t="n">
        <v>1.3897</v>
      </c>
      <c r="F745" t="n">
        <v>83.38</v>
      </c>
      <c r="G745">
        <f>H745/60</f>
        <v/>
      </c>
      <c r="H745">
        <f>MEDIAN(I743,I744,I745,0,0)</f>
        <v/>
      </c>
      <c r="I745" t="n">
        <v>81</v>
      </c>
      <c r="J745">
        <f>H745-F745</f>
        <v/>
      </c>
      <c r="K745">
        <f>ABS(J745)</f>
        <v/>
      </c>
      <c r="L745">
        <f>K745/F745*100</f>
        <v/>
      </c>
    </row>
    <row r="746">
      <c r="A746" t="inlineStr">
        <is>
          <t>subject10</t>
        </is>
      </c>
      <c r="B746" t="n">
        <v>1</v>
      </c>
      <c r="C746" t="n">
        <v>0</v>
      </c>
      <c r="D746" t="n">
        <v>20</v>
      </c>
      <c r="E746" t="n">
        <v>1.0199</v>
      </c>
      <c r="F746" t="n">
        <v>61.2</v>
      </c>
      <c r="G746">
        <f>H746/60</f>
        <v/>
      </c>
      <c r="H746">
        <f>MEDIAN(0,0,I746,I747,I748)</f>
        <v/>
      </c>
      <c r="I746" t="n">
        <v>57</v>
      </c>
      <c r="J746">
        <f>H746-F746</f>
        <v/>
      </c>
      <c r="K746">
        <f>ABS(J746)</f>
        <v/>
      </c>
      <c r="L746">
        <f>K746/F746*100</f>
        <v/>
      </c>
    </row>
    <row r="747">
      <c r="A747" t="inlineStr">
        <is>
          <t>subject10</t>
        </is>
      </c>
      <c r="B747" t="n">
        <v>2</v>
      </c>
      <c r="C747" t="n">
        <v>5</v>
      </c>
      <c r="D747" t="n">
        <v>25</v>
      </c>
      <c r="E747" t="n">
        <v>1.0326</v>
      </c>
      <c r="F747" t="n">
        <v>61.95</v>
      </c>
      <c r="G747">
        <f>H747/60</f>
        <v/>
      </c>
      <c r="H747">
        <f>MEDIAN(0,I746,I747,I748,I749)</f>
        <v/>
      </c>
      <c r="I747" t="n">
        <v>51</v>
      </c>
      <c r="J747">
        <f>H747-F747</f>
        <v/>
      </c>
      <c r="K747">
        <f>ABS(J747)</f>
        <v/>
      </c>
      <c r="L747">
        <f>K747/F747*100</f>
        <v/>
      </c>
    </row>
    <row r="748">
      <c r="A748" t="inlineStr">
        <is>
          <t>subject10</t>
        </is>
      </c>
      <c r="B748" t="n">
        <v>3</v>
      </c>
      <c r="C748" t="n">
        <v>10</v>
      </c>
      <c r="D748" t="n">
        <v>30</v>
      </c>
      <c r="E748" t="n">
        <v>1.0417</v>
      </c>
      <c r="F748" t="n">
        <v>62.5</v>
      </c>
      <c r="G748">
        <f>H748/60</f>
        <v/>
      </c>
      <c r="H748">
        <f>MEDIAN(I746,I747,I748,I749,I750)</f>
        <v/>
      </c>
      <c r="I748" t="n">
        <v>51</v>
      </c>
      <c r="J748">
        <f>H748-F748</f>
        <v/>
      </c>
      <c r="K748">
        <f>ABS(J748)</f>
        <v/>
      </c>
      <c r="L748">
        <f>K748/F748*100</f>
        <v/>
      </c>
    </row>
    <row r="749">
      <c r="A749" t="inlineStr">
        <is>
          <t>subject10</t>
        </is>
      </c>
      <c r="B749" t="n">
        <v>4</v>
      </c>
      <c r="C749" t="n">
        <v>15</v>
      </c>
      <c r="D749" t="n">
        <v>35</v>
      </c>
      <c r="E749" t="n">
        <v>1.0591</v>
      </c>
      <c r="F749" t="n">
        <v>63.54</v>
      </c>
      <c r="G749">
        <f>H749/60</f>
        <v/>
      </c>
      <c r="H749">
        <f>MEDIAN(I747,I748,I749,I750,I751)</f>
        <v/>
      </c>
      <c r="I749" t="n">
        <v>84</v>
      </c>
      <c r="J749">
        <f>H749-F749</f>
        <v/>
      </c>
      <c r="K749">
        <f>ABS(J749)</f>
        <v/>
      </c>
      <c r="L749">
        <f>K749/F749*100</f>
        <v/>
      </c>
    </row>
    <row r="750">
      <c r="A750" t="inlineStr">
        <is>
          <t>subject10</t>
        </is>
      </c>
      <c r="B750" t="n">
        <v>5</v>
      </c>
      <c r="C750" t="n">
        <v>20</v>
      </c>
      <c r="D750" t="n">
        <v>40</v>
      </c>
      <c r="E750" t="n">
        <v>1.0573</v>
      </c>
      <c r="F750" t="n">
        <v>63.44</v>
      </c>
      <c r="G750">
        <f>H750/60</f>
        <v/>
      </c>
      <c r="H750">
        <f>MEDIAN(I748,I749,I750,I751,I752)</f>
        <v/>
      </c>
      <c r="I750" t="n">
        <v>90</v>
      </c>
      <c r="J750">
        <f>H750-F750</f>
        <v/>
      </c>
      <c r="K750">
        <f>ABS(J750)</f>
        <v/>
      </c>
      <c r="L750">
        <f>K750/F750*100</f>
        <v/>
      </c>
    </row>
    <row r="751">
      <c r="A751" t="inlineStr">
        <is>
          <t>subject10</t>
        </is>
      </c>
      <c r="B751" t="n">
        <v>6</v>
      </c>
      <c r="C751" t="n">
        <v>25</v>
      </c>
      <c r="D751" t="n">
        <v>45</v>
      </c>
      <c r="E751" t="n">
        <v>1.0559</v>
      </c>
      <c r="F751" t="n">
        <v>63.35</v>
      </c>
      <c r="G751">
        <f>H751/60</f>
        <v/>
      </c>
      <c r="H751">
        <f>MEDIAN(I749,I750,I751,I752,I753)</f>
        <v/>
      </c>
      <c r="I751" t="n">
        <v>72</v>
      </c>
      <c r="J751">
        <f>H751-F751</f>
        <v/>
      </c>
      <c r="K751">
        <f>ABS(J751)</f>
        <v/>
      </c>
      <c r="L751">
        <f>K751/F751*100</f>
        <v/>
      </c>
    </row>
    <row r="752">
      <c r="A752" t="inlineStr">
        <is>
          <t>subject10</t>
        </is>
      </c>
      <c r="B752" t="n">
        <v>7</v>
      </c>
      <c r="C752" t="n">
        <v>30</v>
      </c>
      <c r="D752" t="n">
        <v>50</v>
      </c>
      <c r="E752" t="n">
        <v>1.072</v>
      </c>
      <c r="F752" t="n">
        <v>64.31999999999999</v>
      </c>
      <c r="G752">
        <f>H752/60</f>
        <v/>
      </c>
      <c r="H752">
        <f>MEDIAN(I750,I751,I752,I753,I754)</f>
        <v/>
      </c>
      <c r="I752" t="n">
        <v>72</v>
      </c>
      <c r="J752">
        <f>H752-F752</f>
        <v/>
      </c>
      <c r="K752">
        <f>ABS(J752)</f>
        <v/>
      </c>
      <c r="L752">
        <f>K752/F752*100</f>
        <v/>
      </c>
    </row>
    <row r="753">
      <c r="A753" t="inlineStr">
        <is>
          <t>subject10</t>
        </is>
      </c>
      <c r="B753" t="n">
        <v>8</v>
      </c>
      <c r="C753" t="n">
        <v>35</v>
      </c>
      <c r="D753" t="n">
        <v>55</v>
      </c>
      <c r="E753" t="n">
        <v>1.0834</v>
      </c>
      <c r="F753" t="n">
        <v>65</v>
      </c>
      <c r="G753">
        <f>H753/60</f>
        <v/>
      </c>
      <c r="H753">
        <f>MEDIAN(I751,I752,I753,I754,I755)</f>
        <v/>
      </c>
      <c r="I753" t="n">
        <v>90</v>
      </c>
      <c r="J753">
        <f>H753-F753</f>
        <v/>
      </c>
      <c r="K753">
        <f>ABS(J753)</f>
        <v/>
      </c>
      <c r="L753">
        <f>K753/F753*100</f>
        <v/>
      </c>
    </row>
    <row r="754">
      <c r="A754" t="inlineStr">
        <is>
          <t>subject10</t>
        </is>
      </c>
      <c r="B754" t="n">
        <v>9</v>
      </c>
      <c r="C754" t="n">
        <v>40</v>
      </c>
      <c r="D754" t="n">
        <v>60</v>
      </c>
      <c r="E754" t="n">
        <v>1.1045</v>
      </c>
      <c r="F754" t="n">
        <v>66.27</v>
      </c>
      <c r="G754">
        <f>H754/60</f>
        <v/>
      </c>
      <c r="H754">
        <f>MEDIAN(I752,I753,I754,I755,I756)</f>
        <v/>
      </c>
      <c r="I754" t="n">
        <v>66</v>
      </c>
      <c r="J754">
        <f>H754-F754</f>
        <v/>
      </c>
      <c r="K754">
        <f>ABS(J754)</f>
        <v/>
      </c>
      <c r="L754">
        <f>K754/F754*100</f>
        <v/>
      </c>
    </row>
    <row r="755">
      <c r="A755" t="inlineStr">
        <is>
          <t>subject10</t>
        </is>
      </c>
      <c r="B755" t="n">
        <v>10</v>
      </c>
      <c r="C755" t="n">
        <v>45</v>
      </c>
      <c r="D755" t="n">
        <v>65</v>
      </c>
      <c r="E755" t="n">
        <v>1.0855</v>
      </c>
      <c r="F755" t="n">
        <v>65.13</v>
      </c>
      <c r="G755">
        <f>H755/60</f>
        <v/>
      </c>
      <c r="H755">
        <f>MEDIAN(I753,I754,I755,I756,I757)</f>
        <v/>
      </c>
      <c r="I755" t="n">
        <v>69</v>
      </c>
      <c r="J755">
        <f>H755-F755</f>
        <v/>
      </c>
      <c r="K755">
        <f>ABS(J755)</f>
        <v/>
      </c>
      <c r="L755">
        <f>K755/F755*100</f>
        <v/>
      </c>
    </row>
    <row r="756">
      <c r="A756" t="inlineStr">
        <is>
          <t>subject10</t>
        </is>
      </c>
      <c r="B756" t="n">
        <v>11</v>
      </c>
      <c r="C756" t="n">
        <v>50</v>
      </c>
      <c r="D756" t="n">
        <v>70</v>
      </c>
      <c r="E756" t="n">
        <v>1.0693</v>
      </c>
      <c r="F756" t="n">
        <v>64.16</v>
      </c>
      <c r="G756">
        <f>H756/60</f>
        <v/>
      </c>
      <c r="H756">
        <f>MEDIAN(I754,I755,I756,I757,I758)</f>
        <v/>
      </c>
      <c r="I756" t="n">
        <v>69</v>
      </c>
      <c r="J756">
        <f>H756-F756</f>
        <v/>
      </c>
      <c r="K756">
        <f>ABS(J756)</f>
        <v/>
      </c>
      <c r="L756">
        <f>K756/F756*100</f>
        <v/>
      </c>
    </row>
    <row r="757">
      <c r="A757" t="inlineStr">
        <is>
          <t>subject10</t>
        </is>
      </c>
      <c r="B757" t="n">
        <v>12</v>
      </c>
      <c r="C757" t="n">
        <v>55</v>
      </c>
      <c r="D757" t="n">
        <v>75</v>
      </c>
      <c r="E757" t="n">
        <v>1.0457</v>
      </c>
      <c r="F757" t="n">
        <v>62.74</v>
      </c>
      <c r="G757">
        <f>H757/60</f>
        <v/>
      </c>
      <c r="H757">
        <f>MEDIAN(I755,I756,I757,I758,I759)</f>
        <v/>
      </c>
      <c r="I757" t="n">
        <v>66</v>
      </c>
      <c r="J757">
        <f>H757-F757</f>
        <v/>
      </c>
      <c r="K757">
        <f>ABS(J757)</f>
        <v/>
      </c>
      <c r="L757">
        <f>K757/F757*100</f>
        <v/>
      </c>
    </row>
    <row r="758">
      <c r="A758" t="inlineStr">
        <is>
          <t>subject10</t>
        </is>
      </c>
      <c r="B758" t="n">
        <v>13</v>
      </c>
      <c r="C758" t="n">
        <v>60</v>
      </c>
      <c r="D758" t="n">
        <v>80</v>
      </c>
      <c r="E758" t="n">
        <v>1.0184</v>
      </c>
      <c r="F758" t="n">
        <v>61.11</v>
      </c>
      <c r="G758">
        <f>H758/60</f>
        <v/>
      </c>
      <c r="H758">
        <f>MEDIAN(I756,I757,I758,I759,I760)</f>
        <v/>
      </c>
      <c r="I758" t="n">
        <v>63</v>
      </c>
      <c r="J758">
        <f>H758-F758</f>
        <v/>
      </c>
      <c r="K758">
        <f>ABS(J758)</f>
        <v/>
      </c>
      <c r="L758">
        <f>K758/F758*100</f>
        <v/>
      </c>
    </row>
    <row r="759">
      <c r="A759" t="inlineStr">
        <is>
          <t>subject10</t>
        </is>
      </c>
      <c r="B759" t="n">
        <v>14</v>
      </c>
      <c r="C759" t="n">
        <v>65</v>
      </c>
      <c r="D759" t="n">
        <v>85</v>
      </c>
      <c r="E759" t="n">
        <v>1.0104</v>
      </c>
      <c r="F759" t="n">
        <v>60.62</v>
      </c>
      <c r="G759">
        <f>H759/60</f>
        <v/>
      </c>
      <c r="H759">
        <f>MEDIAN(I757,I758,I759,I760,I761)</f>
        <v/>
      </c>
      <c r="I759" t="n">
        <v>63</v>
      </c>
      <c r="J759">
        <f>H759-F759</f>
        <v/>
      </c>
      <c r="K759">
        <f>ABS(J759)</f>
        <v/>
      </c>
      <c r="L759">
        <f>K759/F759*100</f>
        <v/>
      </c>
    </row>
    <row r="760">
      <c r="A760" t="inlineStr">
        <is>
          <t>subject10</t>
        </is>
      </c>
      <c r="B760" t="n">
        <v>15</v>
      </c>
      <c r="C760" t="n">
        <v>70</v>
      </c>
      <c r="D760" t="n">
        <v>90</v>
      </c>
      <c r="E760" t="n">
        <v>0.9831</v>
      </c>
      <c r="F760" t="n">
        <v>58.99</v>
      </c>
      <c r="G760">
        <f>H760/60</f>
        <v/>
      </c>
      <c r="H760">
        <f>MEDIAN(I758,I759,I760,I761,I762)</f>
        <v/>
      </c>
      <c r="I760" t="n">
        <v>57</v>
      </c>
      <c r="J760">
        <f>H760-F760</f>
        <v/>
      </c>
      <c r="K760">
        <f>ABS(J760)</f>
        <v/>
      </c>
      <c r="L760">
        <f>K760/F760*100</f>
        <v/>
      </c>
    </row>
    <row r="761">
      <c r="A761" t="inlineStr">
        <is>
          <t>subject10</t>
        </is>
      </c>
      <c r="B761" t="n">
        <v>16</v>
      </c>
      <c r="C761" t="n">
        <v>75</v>
      </c>
      <c r="D761" t="n">
        <v>95</v>
      </c>
      <c r="E761" t="n">
        <v>0.9805</v>
      </c>
      <c r="F761" t="n">
        <v>58.83</v>
      </c>
      <c r="G761">
        <f>H761/60</f>
        <v/>
      </c>
      <c r="H761">
        <f>MEDIAN(I759,I760,I761,I762,I763)</f>
        <v/>
      </c>
      <c r="I761" t="n">
        <v>57</v>
      </c>
      <c r="J761">
        <f>H761-F761</f>
        <v/>
      </c>
      <c r="K761">
        <f>ABS(J761)</f>
        <v/>
      </c>
      <c r="L761">
        <f>K761/F761*100</f>
        <v/>
      </c>
    </row>
    <row r="762">
      <c r="A762" t="inlineStr">
        <is>
          <t>subject10</t>
        </is>
      </c>
      <c r="B762" t="n">
        <v>17</v>
      </c>
      <c r="C762" t="n">
        <v>80</v>
      </c>
      <c r="D762" t="n">
        <v>100</v>
      </c>
      <c r="E762" t="n">
        <v>0.9853</v>
      </c>
      <c r="F762" t="n">
        <v>59.12</v>
      </c>
      <c r="G762">
        <f>H762/60</f>
        <v/>
      </c>
      <c r="H762">
        <f>MEDIAN(I760,I761,I762,I763,I764)</f>
        <v/>
      </c>
      <c r="I762" t="n">
        <v>60</v>
      </c>
      <c r="J762">
        <f>H762-F762</f>
        <v/>
      </c>
      <c r="K762">
        <f>ABS(J762)</f>
        <v/>
      </c>
      <c r="L762">
        <f>K762/F762*100</f>
        <v/>
      </c>
    </row>
    <row r="763">
      <c r="A763" t="inlineStr">
        <is>
          <t>subject10</t>
        </is>
      </c>
      <c r="B763" t="n">
        <v>18</v>
      </c>
      <c r="C763" t="n">
        <v>85</v>
      </c>
      <c r="D763" t="n">
        <v>105</v>
      </c>
      <c r="E763" t="n">
        <v>0.997</v>
      </c>
      <c r="F763" t="n">
        <v>59.82</v>
      </c>
      <c r="G763">
        <f>H763/60</f>
        <v/>
      </c>
      <c r="H763">
        <f>MEDIAN(I761,I762,I763,I764,I765)</f>
        <v/>
      </c>
      <c r="I763" t="n">
        <v>60</v>
      </c>
      <c r="J763">
        <f>H763-F763</f>
        <v/>
      </c>
      <c r="K763">
        <f>ABS(J763)</f>
        <v/>
      </c>
      <c r="L763">
        <f>K763/F763*100</f>
        <v/>
      </c>
    </row>
    <row r="764">
      <c r="A764" t="inlineStr">
        <is>
          <t>subject10</t>
        </is>
      </c>
      <c r="B764" t="n">
        <v>19</v>
      </c>
      <c r="C764" t="n">
        <v>90</v>
      </c>
      <c r="D764" t="n">
        <v>110</v>
      </c>
      <c r="E764" t="n">
        <v>1.0076</v>
      </c>
      <c r="F764" t="n">
        <v>60.45</v>
      </c>
      <c r="G764">
        <f>H764/60</f>
        <v/>
      </c>
      <c r="H764">
        <f>MEDIAN(I762,I763,I764,I765,I766)</f>
        <v/>
      </c>
      <c r="I764" t="n">
        <v>60</v>
      </c>
      <c r="J764">
        <f>H764-F764</f>
        <v/>
      </c>
      <c r="K764">
        <f>ABS(J764)</f>
        <v/>
      </c>
      <c r="L764">
        <f>K764/F764*100</f>
        <v/>
      </c>
    </row>
    <row r="765">
      <c r="A765" t="inlineStr">
        <is>
          <t>subject10</t>
        </is>
      </c>
      <c r="B765" t="n">
        <v>20</v>
      </c>
      <c r="C765" t="n">
        <v>95</v>
      </c>
      <c r="D765" t="n">
        <v>115</v>
      </c>
      <c r="E765" t="n">
        <v>1.0013</v>
      </c>
      <c r="F765" t="n">
        <v>60.08</v>
      </c>
      <c r="G765">
        <f>H765/60</f>
        <v/>
      </c>
      <c r="H765">
        <f>MEDIAN(I763,I764,I765,I766,I767)</f>
        <v/>
      </c>
      <c r="I765" t="n">
        <v>66</v>
      </c>
      <c r="J765">
        <f>H765-F765</f>
        <v/>
      </c>
      <c r="K765">
        <f>ABS(J765)</f>
        <v/>
      </c>
      <c r="L765">
        <f>K765/F765*100</f>
        <v/>
      </c>
    </row>
    <row r="766">
      <c r="A766" t="inlineStr">
        <is>
          <t>subject10</t>
        </is>
      </c>
      <c r="B766" t="n">
        <v>21</v>
      </c>
      <c r="C766" t="n">
        <v>100</v>
      </c>
      <c r="D766" t="n">
        <v>120</v>
      </c>
      <c r="E766" t="n">
        <v>0.9827</v>
      </c>
      <c r="F766" t="n">
        <v>58.96</v>
      </c>
      <c r="G766">
        <f>H766/60</f>
        <v/>
      </c>
      <c r="H766">
        <f>MEDIAN(I764,I765,I766,I767,I768)</f>
        <v/>
      </c>
      <c r="I766" t="n">
        <v>60</v>
      </c>
      <c r="J766">
        <f>H766-F766</f>
        <v/>
      </c>
      <c r="K766">
        <f>ABS(J766)</f>
        <v/>
      </c>
      <c r="L766">
        <f>K766/F766*100</f>
        <v/>
      </c>
    </row>
    <row r="767">
      <c r="A767" t="inlineStr">
        <is>
          <t>subject10</t>
        </is>
      </c>
      <c r="B767" t="n">
        <v>22</v>
      </c>
      <c r="C767" t="n">
        <v>105</v>
      </c>
      <c r="D767" t="n">
        <v>125</v>
      </c>
      <c r="E767" t="n">
        <v>0.9623</v>
      </c>
      <c r="F767" t="n">
        <v>57.74</v>
      </c>
      <c r="G767">
        <f>H767/60</f>
        <v/>
      </c>
      <c r="H767">
        <f>MEDIAN(I765,I766,I767,I768,I769)</f>
        <v/>
      </c>
      <c r="I767" t="n">
        <v>60</v>
      </c>
      <c r="J767">
        <f>H767-F767</f>
        <v/>
      </c>
      <c r="K767">
        <f>ABS(J767)</f>
        <v/>
      </c>
      <c r="L767">
        <f>K767/F767*100</f>
        <v/>
      </c>
    </row>
    <row r="768">
      <c r="A768" t="inlineStr">
        <is>
          <t>subject10</t>
        </is>
      </c>
      <c r="B768" t="n">
        <v>23</v>
      </c>
      <c r="C768" t="n">
        <v>110</v>
      </c>
      <c r="D768" t="n">
        <v>130</v>
      </c>
      <c r="E768" t="n">
        <v>0.9543</v>
      </c>
      <c r="F768" t="n">
        <v>57.26</v>
      </c>
      <c r="G768">
        <f>H768/60</f>
        <v/>
      </c>
      <c r="H768">
        <f>MEDIAN(I766,I767,I768,I769,I770)</f>
        <v/>
      </c>
      <c r="I768" t="n">
        <v>57</v>
      </c>
      <c r="J768">
        <f>H768-F768</f>
        <v/>
      </c>
      <c r="K768">
        <f>ABS(J768)</f>
        <v/>
      </c>
      <c r="L768">
        <f>K768/F768*100</f>
        <v/>
      </c>
    </row>
    <row r="769">
      <c r="A769" t="inlineStr">
        <is>
          <t>subject10</t>
        </is>
      </c>
      <c r="B769" t="n">
        <v>24</v>
      </c>
      <c r="C769" t="n">
        <v>115</v>
      </c>
      <c r="D769" t="n">
        <v>135</v>
      </c>
      <c r="E769" t="n">
        <v>0.9517</v>
      </c>
      <c r="F769" t="n">
        <v>57.1</v>
      </c>
      <c r="G769">
        <f>H769/60</f>
        <v/>
      </c>
      <c r="H769">
        <f>MEDIAN(I767,I768,I769,I770,I771)</f>
        <v/>
      </c>
      <c r="I769" t="n">
        <v>57</v>
      </c>
      <c r="J769">
        <f>H769-F769</f>
        <v/>
      </c>
      <c r="K769">
        <f>ABS(J769)</f>
        <v/>
      </c>
      <c r="L769">
        <f>K769/F769*100</f>
        <v/>
      </c>
    </row>
    <row r="770">
      <c r="A770" t="inlineStr">
        <is>
          <t>subject10</t>
        </is>
      </c>
      <c r="B770" t="n">
        <v>25</v>
      </c>
      <c r="C770" t="n">
        <v>120</v>
      </c>
      <c r="D770" t="n">
        <v>140</v>
      </c>
      <c r="E770" t="n">
        <v>0.9651</v>
      </c>
      <c r="F770" t="n">
        <v>57.91</v>
      </c>
      <c r="G770">
        <f>H770/60</f>
        <v/>
      </c>
      <c r="H770">
        <f>MEDIAN(I768,I769,I770,I771,I772)</f>
        <v/>
      </c>
      <c r="I770" t="n">
        <v>75</v>
      </c>
      <c r="J770">
        <f>H770-F770</f>
        <v/>
      </c>
      <c r="K770">
        <f>ABS(J770)</f>
        <v/>
      </c>
      <c r="L770">
        <f>K770/F770*100</f>
        <v/>
      </c>
    </row>
    <row r="771">
      <c r="A771" t="inlineStr">
        <is>
          <t>subject10</t>
        </is>
      </c>
      <c r="B771" t="n">
        <v>26</v>
      </c>
      <c r="C771" t="n">
        <v>125</v>
      </c>
      <c r="D771" t="n">
        <v>145</v>
      </c>
      <c r="E771" t="n">
        <v>0.9868</v>
      </c>
      <c r="F771" t="n">
        <v>59.21</v>
      </c>
      <c r="G771">
        <f>H771/60</f>
        <v/>
      </c>
      <c r="H771">
        <f>MEDIAN(I769,I770,I771,I772,I773)</f>
        <v/>
      </c>
      <c r="I771" t="n">
        <v>63</v>
      </c>
      <c r="J771">
        <f>H771-F771</f>
        <v/>
      </c>
      <c r="K771">
        <f>ABS(J771)</f>
        <v/>
      </c>
      <c r="L771">
        <f>K771/F771*100</f>
        <v/>
      </c>
    </row>
    <row r="772">
      <c r="A772" t="inlineStr">
        <is>
          <t>subject10</t>
        </is>
      </c>
      <c r="B772" t="n">
        <v>27</v>
      </c>
      <c r="C772" t="n">
        <v>130</v>
      </c>
      <c r="D772" t="n">
        <v>150</v>
      </c>
      <c r="E772" t="n">
        <v>1.0005</v>
      </c>
      <c r="F772" t="n">
        <v>60.03</v>
      </c>
      <c r="G772">
        <f>H772/60</f>
        <v/>
      </c>
      <c r="H772">
        <f>MEDIAN(I770,I771,I772,I773,I774)</f>
        <v/>
      </c>
      <c r="I772" t="n">
        <v>66</v>
      </c>
      <c r="J772">
        <f>H772-F772</f>
        <v/>
      </c>
      <c r="K772">
        <f>ABS(J772)</f>
        <v/>
      </c>
      <c r="L772">
        <f>K772/F772*100</f>
        <v/>
      </c>
    </row>
    <row r="773">
      <c r="A773" t="inlineStr">
        <is>
          <t>subject10</t>
        </is>
      </c>
      <c r="B773" t="n">
        <v>28</v>
      </c>
      <c r="C773" t="n">
        <v>135</v>
      </c>
      <c r="D773" t="n">
        <v>155</v>
      </c>
      <c r="E773" t="n">
        <v>1.0069</v>
      </c>
      <c r="F773" t="n">
        <v>60.42</v>
      </c>
      <c r="G773">
        <f>H773/60</f>
        <v/>
      </c>
      <c r="H773">
        <f>MEDIAN(I771,I772,I773,I774,I775)</f>
        <v/>
      </c>
      <c r="I773" t="n">
        <v>87</v>
      </c>
      <c r="J773">
        <f>H773-F773</f>
        <v/>
      </c>
      <c r="K773">
        <f>ABS(J773)</f>
        <v/>
      </c>
      <c r="L773">
        <f>K773/F773*100</f>
        <v/>
      </c>
    </row>
    <row r="774">
      <c r="A774" t="inlineStr">
        <is>
          <t>subject10</t>
        </is>
      </c>
      <c r="B774" t="n">
        <v>29</v>
      </c>
      <c r="C774" t="n">
        <v>140</v>
      </c>
      <c r="D774" t="n">
        <v>160</v>
      </c>
      <c r="E774" t="n">
        <v>0.9972</v>
      </c>
      <c r="F774" t="n">
        <v>59.83</v>
      </c>
      <c r="G774">
        <f>H774/60</f>
        <v/>
      </c>
      <c r="H774">
        <f>MEDIAN(I772,I773,I774,I775,I776)</f>
        <v/>
      </c>
      <c r="I774" t="n">
        <v>87</v>
      </c>
      <c r="J774">
        <f>H774-F774</f>
        <v/>
      </c>
      <c r="K774">
        <f>ABS(J774)</f>
        <v/>
      </c>
      <c r="L774">
        <f>K774/F774*100</f>
        <v/>
      </c>
    </row>
    <row r="775">
      <c r="A775" t="inlineStr">
        <is>
          <t>subject10</t>
        </is>
      </c>
      <c r="B775" t="n">
        <v>30</v>
      </c>
      <c r="C775" t="n">
        <v>145</v>
      </c>
      <c r="D775" t="n">
        <v>165</v>
      </c>
      <c r="E775" t="n">
        <v>0.9782999999999999</v>
      </c>
      <c r="F775" t="n">
        <v>58.7</v>
      </c>
      <c r="G775">
        <f>H775/60</f>
        <v/>
      </c>
      <c r="H775">
        <f>MEDIAN(I773,I774,I775,I776,I777)</f>
        <v/>
      </c>
      <c r="I775" t="n">
        <v>66</v>
      </c>
      <c r="J775">
        <f>H775-F775</f>
        <v/>
      </c>
      <c r="K775">
        <f>ABS(J775)</f>
        <v/>
      </c>
      <c r="L775">
        <f>K775/F775*100</f>
        <v/>
      </c>
    </row>
    <row r="776">
      <c r="A776" t="inlineStr">
        <is>
          <t>subject10</t>
        </is>
      </c>
      <c r="B776" t="n">
        <v>31</v>
      </c>
      <c r="C776" t="n">
        <v>150</v>
      </c>
      <c r="D776" t="n">
        <v>170</v>
      </c>
      <c r="E776" t="n">
        <v>0.9637</v>
      </c>
      <c r="F776" t="n">
        <v>57.82</v>
      </c>
      <c r="G776">
        <f>H776/60</f>
        <v/>
      </c>
      <c r="H776">
        <f>MEDIAN(I774,I775,I776,I777,I778)</f>
        <v/>
      </c>
      <c r="I776" t="n">
        <v>93</v>
      </c>
      <c r="J776">
        <f>H776-F776</f>
        <v/>
      </c>
      <c r="K776">
        <f>ABS(J776)</f>
        <v/>
      </c>
      <c r="L776">
        <f>K776/F776*100</f>
        <v/>
      </c>
    </row>
    <row r="777">
      <c r="A777" t="inlineStr">
        <is>
          <t>subject10</t>
        </is>
      </c>
      <c r="B777" t="n">
        <v>32</v>
      </c>
      <c r="C777" t="n">
        <v>155</v>
      </c>
      <c r="D777" t="n">
        <v>175</v>
      </c>
      <c r="E777" t="n">
        <v>0.9605</v>
      </c>
      <c r="F777" t="n">
        <v>57.63</v>
      </c>
      <c r="G777">
        <f>H777/60</f>
        <v/>
      </c>
      <c r="H777">
        <f>MEDIAN(I775,I776,I777,I778,I779)</f>
        <v/>
      </c>
      <c r="I777" t="n">
        <v>96</v>
      </c>
      <c r="J777">
        <f>H777-F777</f>
        <v/>
      </c>
      <c r="K777">
        <f>ABS(J777)</f>
        <v/>
      </c>
      <c r="L777">
        <f>K777/F777*100</f>
        <v/>
      </c>
    </row>
    <row r="778">
      <c r="A778" t="inlineStr">
        <is>
          <t>subject10</t>
        </is>
      </c>
      <c r="B778" t="n">
        <v>33</v>
      </c>
      <c r="C778" t="n">
        <v>160</v>
      </c>
      <c r="D778" t="n">
        <v>180</v>
      </c>
      <c r="E778" t="n">
        <v>0.9733000000000001</v>
      </c>
      <c r="F778" t="n">
        <v>58.4</v>
      </c>
      <c r="G778">
        <f>H778/60</f>
        <v/>
      </c>
      <c r="H778">
        <f>MEDIAN(I776,I777,I778,I779,I780)</f>
        <v/>
      </c>
      <c r="I778" t="n">
        <v>99</v>
      </c>
      <c r="J778">
        <f>H778-F778</f>
        <v/>
      </c>
      <c r="K778">
        <f>ABS(J778)</f>
        <v/>
      </c>
      <c r="L778">
        <f>K778/F778*100</f>
        <v/>
      </c>
    </row>
    <row r="779">
      <c r="A779" t="inlineStr">
        <is>
          <t>subject10</t>
        </is>
      </c>
      <c r="B779" t="n">
        <v>34</v>
      </c>
      <c r="C779" t="n">
        <v>165</v>
      </c>
      <c r="D779" t="n">
        <v>185</v>
      </c>
      <c r="E779" t="n">
        <v>0.981</v>
      </c>
      <c r="F779" t="n">
        <v>58.86</v>
      </c>
      <c r="G779">
        <f>H779/60</f>
        <v/>
      </c>
      <c r="H779">
        <f>MEDIAN(I777,I778,I779,I780,I781)</f>
        <v/>
      </c>
      <c r="I779" t="n">
        <v>57</v>
      </c>
      <c r="J779">
        <f>H779-F779</f>
        <v/>
      </c>
      <c r="K779">
        <f>ABS(J779)</f>
        <v/>
      </c>
      <c r="L779">
        <f>K779/F779*100</f>
        <v/>
      </c>
    </row>
    <row r="780">
      <c r="A780" t="inlineStr">
        <is>
          <t>subject10</t>
        </is>
      </c>
      <c r="B780" t="n">
        <v>35</v>
      </c>
      <c r="C780" t="n">
        <v>170</v>
      </c>
      <c r="D780" t="n">
        <v>190</v>
      </c>
      <c r="E780" t="n">
        <v>1.0082</v>
      </c>
      <c r="F780" t="n">
        <v>60.49</v>
      </c>
      <c r="G780">
        <f>H780/60</f>
        <v/>
      </c>
      <c r="H780">
        <f>MEDIAN(I778,I779,I780,I781,I782)</f>
        <v/>
      </c>
      <c r="I780" t="n">
        <v>93</v>
      </c>
      <c r="J780">
        <f>H780-F780</f>
        <v/>
      </c>
      <c r="K780">
        <f>ABS(J780)</f>
        <v/>
      </c>
      <c r="L780">
        <f>K780/F780*100</f>
        <v/>
      </c>
    </row>
    <row r="781">
      <c r="A781" t="inlineStr">
        <is>
          <t>subject10</t>
        </is>
      </c>
      <c r="B781" t="n">
        <v>36</v>
      </c>
      <c r="C781" t="n">
        <v>175</v>
      </c>
      <c r="D781" t="n">
        <v>195</v>
      </c>
      <c r="E781" t="n">
        <v>1.0159</v>
      </c>
      <c r="F781" t="n">
        <v>60.96</v>
      </c>
      <c r="G781">
        <f>H781/60</f>
        <v/>
      </c>
      <c r="H781">
        <f>MEDIAN(I779,I780,I781,I782,I783)</f>
        <v/>
      </c>
      <c r="I781" t="n">
        <v>90</v>
      </c>
      <c r="J781">
        <f>H781-F781</f>
        <v/>
      </c>
      <c r="K781">
        <f>ABS(J781)</f>
        <v/>
      </c>
      <c r="L781">
        <f>K781/F781*100</f>
        <v/>
      </c>
    </row>
    <row r="782">
      <c r="A782" t="inlineStr">
        <is>
          <t>subject10</t>
        </is>
      </c>
      <c r="B782" t="n">
        <v>37</v>
      </c>
      <c r="C782" t="n">
        <v>180</v>
      </c>
      <c r="D782" t="n">
        <v>200</v>
      </c>
      <c r="E782" t="n">
        <v>1.0259</v>
      </c>
      <c r="F782" t="n">
        <v>61.55</v>
      </c>
      <c r="G782">
        <f>H782/60</f>
        <v/>
      </c>
      <c r="H782">
        <f>MEDIAN(I780,I781,I782,I783,I784)</f>
        <v/>
      </c>
      <c r="I782" t="n">
        <v>84</v>
      </c>
      <c r="J782">
        <f>H782-F782</f>
        <v/>
      </c>
      <c r="K782">
        <f>ABS(J782)</f>
        <v/>
      </c>
      <c r="L782">
        <f>K782/F782*100</f>
        <v/>
      </c>
    </row>
    <row r="783">
      <c r="A783" t="inlineStr">
        <is>
          <t>subject10</t>
        </is>
      </c>
      <c r="B783" t="n">
        <v>38</v>
      </c>
      <c r="C783" t="n">
        <v>185</v>
      </c>
      <c r="D783" t="n">
        <v>205</v>
      </c>
      <c r="E783" t="n">
        <v>1.0415</v>
      </c>
      <c r="F783" t="n">
        <v>62.49</v>
      </c>
      <c r="G783">
        <f>H783/60</f>
        <v/>
      </c>
      <c r="H783">
        <f>MEDIAN(I781,I782,I783,I784,I785)</f>
        <v/>
      </c>
      <c r="I783" t="n">
        <v>57</v>
      </c>
      <c r="J783">
        <f>H783-F783</f>
        <v/>
      </c>
      <c r="K783">
        <f>ABS(J783)</f>
        <v/>
      </c>
      <c r="L783">
        <f>K783/F783*100</f>
        <v/>
      </c>
    </row>
    <row r="784">
      <c r="A784" t="inlineStr">
        <is>
          <t>subject10</t>
        </is>
      </c>
      <c r="B784" t="n">
        <v>39</v>
      </c>
      <c r="C784" t="n">
        <v>190</v>
      </c>
      <c r="D784" t="n">
        <v>210</v>
      </c>
      <c r="E784" t="n">
        <v>1.0399</v>
      </c>
      <c r="F784" t="n">
        <v>62.4</v>
      </c>
      <c r="G784">
        <f>H784/60</f>
        <v/>
      </c>
      <c r="H784">
        <f>MEDIAN(I782,I783,I784,I785,I786)</f>
        <v/>
      </c>
      <c r="I784" t="n">
        <v>57</v>
      </c>
      <c r="J784">
        <f>H784-F784</f>
        <v/>
      </c>
      <c r="K784">
        <f>ABS(J784)</f>
        <v/>
      </c>
      <c r="L784">
        <f>K784/F784*100</f>
        <v/>
      </c>
    </row>
    <row r="785">
      <c r="A785" t="inlineStr">
        <is>
          <t>subject10</t>
        </is>
      </c>
      <c r="B785" t="n">
        <v>40</v>
      </c>
      <c r="C785" t="n">
        <v>195</v>
      </c>
      <c r="D785" t="n">
        <v>215</v>
      </c>
      <c r="E785" t="n">
        <v>1.0409</v>
      </c>
      <c r="F785" t="n">
        <v>62.45</v>
      </c>
      <c r="G785">
        <f>H785/60</f>
        <v/>
      </c>
      <c r="H785">
        <f>MEDIAN(I783,I784,I785,I786,I787)</f>
        <v/>
      </c>
      <c r="I785" t="n">
        <v>57</v>
      </c>
      <c r="J785">
        <f>H785-F785</f>
        <v/>
      </c>
      <c r="K785">
        <f>ABS(J785)</f>
        <v/>
      </c>
      <c r="L785">
        <f>K785/F785*100</f>
        <v/>
      </c>
    </row>
    <row r="786">
      <c r="A786" t="inlineStr">
        <is>
          <t>subject10</t>
        </is>
      </c>
      <c r="B786" t="n">
        <v>41</v>
      </c>
      <c r="C786" t="n">
        <v>200</v>
      </c>
      <c r="D786" t="n">
        <v>220</v>
      </c>
      <c r="E786" t="n">
        <v>1.0397</v>
      </c>
      <c r="F786" t="n">
        <v>62.38</v>
      </c>
      <c r="G786">
        <f>H786/60</f>
        <v/>
      </c>
      <c r="H786">
        <f>MEDIAN(I784,I785,I786,I787,I788)</f>
        <v/>
      </c>
      <c r="I786" t="n">
        <v>69</v>
      </c>
      <c r="J786">
        <f>H786-F786</f>
        <v/>
      </c>
      <c r="K786">
        <f>ABS(J786)</f>
        <v/>
      </c>
      <c r="L786">
        <f>K786/F786*100</f>
        <v/>
      </c>
    </row>
    <row r="787">
      <c r="A787" t="inlineStr">
        <is>
          <t>subject10</t>
        </is>
      </c>
      <c r="B787" t="n">
        <v>42</v>
      </c>
      <c r="C787" t="n">
        <v>205</v>
      </c>
      <c r="D787" t="n">
        <v>225</v>
      </c>
      <c r="E787" t="n">
        <v>1.036</v>
      </c>
      <c r="F787" t="n">
        <v>62.16</v>
      </c>
      <c r="G787">
        <f>H787/60</f>
        <v/>
      </c>
      <c r="H787">
        <f>MEDIAN(I785,I786,I787,I788,I789)</f>
        <v/>
      </c>
      <c r="I787" t="n">
        <v>63</v>
      </c>
      <c r="J787">
        <f>H787-F787</f>
        <v/>
      </c>
      <c r="K787">
        <f>ABS(J787)</f>
        <v/>
      </c>
      <c r="L787">
        <f>K787/F787*100</f>
        <v/>
      </c>
    </row>
    <row r="788">
      <c r="A788" t="inlineStr">
        <is>
          <t>subject10</t>
        </is>
      </c>
      <c r="B788" t="n">
        <v>43</v>
      </c>
      <c r="C788" t="n">
        <v>210</v>
      </c>
      <c r="D788" t="n">
        <v>230</v>
      </c>
      <c r="E788" t="n">
        <v>1.0281</v>
      </c>
      <c r="F788" t="n">
        <v>61.69</v>
      </c>
      <c r="G788">
        <f>H788/60</f>
        <v/>
      </c>
      <c r="H788">
        <f>MEDIAN(I786,I787,I788,I789,I790)</f>
        <v/>
      </c>
      <c r="I788" t="n">
        <v>63</v>
      </c>
      <c r="J788">
        <f>H788-F788</f>
        <v/>
      </c>
      <c r="K788">
        <f>ABS(J788)</f>
        <v/>
      </c>
      <c r="L788">
        <f>K788/F788*100</f>
        <v/>
      </c>
    </row>
    <row r="789">
      <c r="A789" t="inlineStr">
        <is>
          <t>subject10</t>
        </is>
      </c>
      <c r="B789" t="n">
        <v>44</v>
      </c>
      <c r="C789" t="n">
        <v>215</v>
      </c>
      <c r="D789" t="n">
        <v>235</v>
      </c>
      <c r="E789" t="n">
        <v>1.0264</v>
      </c>
      <c r="F789" t="n">
        <v>61.58</v>
      </c>
      <c r="G789">
        <f>H789/60</f>
        <v/>
      </c>
      <c r="H789">
        <f>MEDIAN(I787,I788,I789,I790,I791)</f>
        <v/>
      </c>
      <c r="I789" t="n">
        <v>60</v>
      </c>
      <c r="J789">
        <f>H789-F789</f>
        <v/>
      </c>
      <c r="K789">
        <f>ABS(J789)</f>
        <v/>
      </c>
      <c r="L789">
        <f>K789/F789*100</f>
        <v/>
      </c>
    </row>
    <row r="790">
      <c r="A790" t="inlineStr">
        <is>
          <t>subject10</t>
        </is>
      </c>
      <c r="B790" t="n">
        <v>45</v>
      </c>
      <c r="C790" t="n">
        <v>220</v>
      </c>
      <c r="D790" t="n">
        <v>240</v>
      </c>
      <c r="E790" t="n">
        <v>1.0092</v>
      </c>
      <c r="F790" t="n">
        <v>60.55</v>
      </c>
      <c r="G790">
        <f>H790/60</f>
        <v/>
      </c>
      <c r="H790">
        <f>MEDIAN(I788,I789,I790,I791,I792)</f>
        <v/>
      </c>
      <c r="I790" t="n">
        <v>60</v>
      </c>
      <c r="J790">
        <f>H790-F790</f>
        <v/>
      </c>
      <c r="K790">
        <f>ABS(J790)</f>
        <v/>
      </c>
      <c r="L790">
        <f>K790/F790*100</f>
        <v/>
      </c>
    </row>
    <row r="791">
      <c r="A791" t="inlineStr">
        <is>
          <t>subject10</t>
        </is>
      </c>
      <c r="B791" t="n">
        <v>46</v>
      </c>
      <c r="C791" t="n">
        <v>225</v>
      </c>
      <c r="D791" t="n">
        <v>245</v>
      </c>
      <c r="E791" t="n">
        <v>1.0203</v>
      </c>
      <c r="F791" t="n">
        <v>61.22</v>
      </c>
      <c r="G791">
        <f>H791/60</f>
        <v/>
      </c>
      <c r="H791">
        <f>MEDIAN(I789,I790,I791,I792,I793)</f>
        <v/>
      </c>
      <c r="I791" t="n">
        <v>99</v>
      </c>
      <c r="J791">
        <f>H791-F791</f>
        <v/>
      </c>
      <c r="K791">
        <f>ABS(J791)</f>
        <v/>
      </c>
      <c r="L791">
        <f>K791/F791*100</f>
        <v/>
      </c>
    </row>
    <row r="792">
      <c r="A792" t="inlineStr">
        <is>
          <t>subject10</t>
        </is>
      </c>
      <c r="B792" t="n">
        <v>47</v>
      </c>
      <c r="C792" t="n">
        <v>230</v>
      </c>
      <c r="D792" t="n">
        <v>250</v>
      </c>
      <c r="E792" t="n">
        <v>1.0139</v>
      </c>
      <c r="F792" t="n">
        <v>60.84</v>
      </c>
      <c r="G792">
        <f>H792/60</f>
        <v/>
      </c>
      <c r="H792">
        <f>MEDIAN(I790,I791,I792,I793,I794)</f>
        <v/>
      </c>
      <c r="I792" t="n">
        <v>63</v>
      </c>
      <c r="J792">
        <f>H792-F792</f>
        <v/>
      </c>
      <c r="K792">
        <f>ABS(J792)</f>
        <v/>
      </c>
      <c r="L792">
        <f>K792/F792*100</f>
        <v/>
      </c>
    </row>
    <row r="793">
      <c r="A793" t="inlineStr">
        <is>
          <t>subject10</t>
        </is>
      </c>
      <c r="B793" t="n">
        <v>48</v>
      </c>
      <c r="C793" t="n">
        <v>235</v>
      </c>
      <c r="D793" t="n">
        <v>255</v>
      </c>
      <c r="E793" t="n">
        <v>1.0205</v>
      </c>
      <c r="F793" t="n">
        <v>61.23</v>
      </c>
      <c r="G793">
        <f>H793/60</f>
        <v/>
      </c>
      <c r="H793">
        <f>MEDIAN(I791,I792,I793,I794,I795)</f>
        <v/>
      </c>
      <c r="I793" t="n">
        <v>63</v>
      </c>
      <c r="J793">
        <f>H793-F793</f>
        <v/>
      </c>
      <c r="K793">
        <f>ABS(J793)</f>
        <v/>
      </c>
      <c r="L793">
        <f>K793/F793*100</f>
        <v/>
      </c>
    </row>
    <row r="794">
      <c r="A794" t="inlineStr">
        <is>
          <t>subject10</t>
        </is>
      </c>
      <c r="B794" t="n">
        <v>49</v>
      </c>
      <c r="C794" t="n">
        <v>240</v>
      </c>
      <c r="D794" t="n">
        <v>260</v>
      </c>
      <c r="E794" t="n">
        <v>1.0261</v>
      </c>
      <c r="F794" t="n">
        <v>61.57</v>
      </c>
      <c r="G794">
        <f>H794/60</f>
        <v/>
      </c>
      <c r="H794">
        <f>MEDIAN(I792,I793,I794,I795,I796)</f>
        <v/>
      </c>
      <c r="I794" t="n">
        <v>60</v>
      </c>
      <c r="J794">
        <f>H794-F794</f>
        <v/>
      </c>
      <c r="K794">
        <f>ABS(J794)</f>
        <v/>
      </c>
      <c r="L794">
        <f>K794/F794*100</f>
        <v/>
      </c>
    </row>
    <row r="795">
      <c r="A795" t="inlineStr">
        <is>
          <t>subject10</t>
        </is>
      </c>
      <c r="B795" t="n">
        <v>50</v>
      </c>
      <c r="C795" t="n">
        <v>245</v>
      </c>
      <c r="D795" t="n">
        <v>265</v>
      </c>
      <c r="E795" t="n">
        <v>1.0131</v>
      </c>
      <c r="F795" t="n">
        <v>60.79</v>
      </c>
      <c r="G795">
        <f>H795/60</f>
        <v/>
      </c>
      <c r="H795">
        <f>MEDIAN(I793,I794,I795,I796,I797)</f>
        <v/>
      </c>
      <c r="I795" t="n">
        <v>93</v>
      </c>
      <c r="J795">
        <f>H795-F795</f>
        <v/>
      </c>
      <c r="K795">
        <f>ABS(J795)</f>
        <v/>
      </c>
      <c r="L795">
        <f>K795/F795*100</f>
        <v/>
      </c>
    </row>
    <row r="796">
      <c r="A796" t="inlineStr">
        <is>
          <t>subject10</t>
        </is>
      </c>
      <c r="B796" t="n">
        <v>51</v>
      </c>
      <c r="C796" t="n">
        <v>250</v>
      </c>
      <c r="D796" t="n">
        <v>270</v>
      </c>
      <c r="E796" t="n">
        <v>0.998</v>
      </c>
      <c r="F796" t="n">
        <v>59.88</v>
      </c>
      <c r="G796">
        <f>H796/60</f>
        <v/>
      </c>
      <c r="H796">
        <f>MEDIAN(I794,I795,I796,I797,I798)</f>
        <v/>
      </c>
      <c r="I796" t="n">
        <v>93</v>
      </c>
      <c r="J796">
        <f>H796-F796</f>
        <v/>
      </c>
      <c r="K796">
        <f>ABS(J796)</f>
        <v/>
      </c>
      <c r="L796">
        <f>K796/F796*100</f>
        <v/>
      </c>
    </row>
    <row r="797">
      <c r="A797" t="inlineStr">
        <is>
          <t>subject10</t>
        </is>
      </c>
      <c r="B797" t="n">
        <v>52</v>
      </c>
      <c r="C797" t="n">
        <v>255</v>
      </c>
      <c r="D797" t="n">
        <v>275</v>
      </c>
      <c r="E797" t="n">
        <v>0.9853</v>
      </c>
      <c r="F797" t="n">
        <v>59.12</v>
      </c>
      <c r="G797">
        <f>H797/60</f>
        <v/>
      </c>
      <c r="H797">
        <f>MEDIAN(I795,I796,I797,I798,I799)</f>
        <v/>
      </c>
      <c r="I797" t="n">
        <v>96</v>
      </c>
      <c r="J797">
        <f>H797-F797</f>
        <v/>
      </c>
      <c r="K797">
        <f>ABS(J797)</f>
        <v/>
      </c>
      <c r="L797">
        <f>K797/F797*100</f>
        <v/>
      </c>
    </row>
    <row r="798">
      <c r="A798" t="inlineStr">
        <is>
          <t>subject10</t>
        </is>
      </c>
      <c r="B798" t="n">
        <v>53</v>
      </c>
      <c r="C798" t="n">
        <v>260</v>
      </c>
      <c r="D798" t="n">
        <v>280</v>
      </c>
      <c r="E798" t="n">
        <v>1.009</v>
      </c>
      <c r="F798" t="n">
        <v>60.54</v>
      </c>
      <c r="G798">
        <f>H798/60</f>
        <v/>
      </c>
      <c r="H798">
        <f>MEDIAN(I796,I797,I798,I799,I800)</f>
        <v/>
      </c>
      <c r="I798" t="n">
        <v>78</v>
      </c>
      <c r="J798">
        <f>H798-F798</f>
        <v/>
      </c>
      <c r="K798">
        <f>ABS(J798)</f>
        <v/>
      </c>
      <c r="L798">
        <f>K798/F798*100</f>
        <v/>
      </c>
    </row>
    <row r="799">
      <c r="A799" t="inlineStr">
        <is>
          <t>subject10</t>
        </is>
      </c>
      <c r="B799" t="n">
        <v>54</v>
      </c>
      <c r="C799" t="n">
        <v>265</v>
      </c>
      <c r="D799" t="n">
        <v>285</v>
      </c>
      <c r="E799" t="n">
        <v>1.0411</v>
      </c>
      <c r="F799" t="n">
        <v>62.46</v>
      </c>
      <c r="G799">
        <f>H799/60</f>
        <v/>
      </c>
      <c r="H799">
        <f>MEDIAN(I797,I798,I799,I800,I801)</f>
        <v/>
      </c>
      <c r="I799" t="n">
        <v>72</v>
      </c>
      <c r="J799">
        <f>H799-F799</f>
        <v/>
      </c>
      <c r="K799">
        <f>ABS(J799)</f>
        <v/>
      </c>
      <c r="L799">
        <f>K799/F799*100</f>
        <v/>
      </c>
    </row>
    <row r="800">
      <c r="A800" t="inlineStr">
        <is>
          <t>subject10</t>
        </is>
      </c>
      <c r="B800" t="n">
        <v>55</v>
      </c>
      <c r="C800" t="n">
        <v>270</v>
      </c>
      <c r="D800" t="n">
        <v>290</v>
      </c>
      <c r="E800" t="n">
        <v>1.0691</v>
      </c>
      <c r="F800" t="n">
        <v>64.15000000000001</v>
      </c>
      <c r="G800">
        <f>H800/60</f>
        <v/>
      </c>
      <c r="H800">
        <f>MEDIAN(I798,I799,I800,I801,I802)</f>
        <v/>
      </c>
      <c r="I800" t="n">
        <v>66</v>
      </c>
      <c r="J800">
        <f>H800-F800</f>
        <v/>
      </c>
      <c r="K800">
        <f>ABS(J800)</f>
        <v/>
      </c>
      <c r="L800">
        <f>K800/F800*100</f>
        <v/>
      </c>
    </row>
    <row r="801">
      <c r="A801" t="inlineStr">
        <is>
          <t>subject10</t>
        </is>
      </c>
      <c r="B801" t="n">
        <v>56</v>
      </c>
      <c r="C801" t="n">
        <v>275</v>
      </c>
      <c r="D801" t="n">
        <v>295</v>
      </c>
      <c r="E801" t="n">
        <v>1.0764</v>
      </c>
      <c r="F801" t="n">
        <v>64.58</v>
      </c>
      <c r="G801">
        <f>H801/60</f>
        <v/>
      </c>
      <c r="H801">
        <f>MEDIAN(I799,I800,I801,I802,I803)</f>
        <v/>
      </c>
      <c r="I801" t="n">
        <v>69</v>
      </c>
      <c r="J801">
        <f>H801-F801</f>
        <v/>
      </c>
      <c r="K801">
        <f>ABS(J801)</f>
        <v/>
      </c>
      <c r="L801">
        <f>K801/F801*100</f>
        <v/>
      </c>
    </row>
    <row r="802">
      <c r="A802" t="inlineStr">
        <is>
          <t>subject10</t>
        </is>
      </c>
      <c r="B802" t="n">
        <v>57</v>
      </c>
      <c r="C802" t="n">
        <v>280</v>
      </c>
      <c r="D802" t="n">
        <v>300</v>
      </c>
      <c r="E802" t="n">
        <v>1.0583</v>
      </c>
      <c r="F802" t="n">
        <v>63.5</v>
      </c>
      <c r="G802">
        <f>H802/60</f>
        <v/>
      </c>
      <c r="H802">
        <f>MEDIAN(I800,I801,I802,I803,I804)</f>
        <v/>
      </c>
      <c r="I802" t="n">
        <v>60</v>
      </c>
      <c r="J802">
        <f>H802-F802</f>
        <v/>
      </c>
      <c r="K802">
        <f>ABS(J802)</f>
        <v/>
      </c>
      <c r="L802">
        <f>K802/F802*100</f>
        <v/>
      </c>
    </row>
    <row r="803">
      <c r="A803" t="inlineStr">
        <is>
          <t>subject10</t>
        </is>
      </c>
      <c r="B803" t="n">
        <v>58</v>
      </c>
      <c r="C803" t="n">
        <v>285</v>
      </c>
      <c r="D803" t="n">
        <v>305</v>
      </c>
      <c r="E803" t="n">
        <v>1.0211</v>
      </c>
      <c r="F803" t="n">
        <v>61.27</v>
      </c>
      <c r="G803">
        <f>H803/60</f>
        <v/>
      </c>
      <c r="H803">
        <f>MEDIAN(I801,I802,I803,I804,I805)</f>
        <v/>
      </c>
      <c r="I803" t="n">
        <v>60</v>
      </c>
      <c r="J803">
        <f>H803-F803</f>
        <v/>
      </c>
      <c r="K803">
        <f>ABS(J803)</f>
        <v/>
      </c>
      <c r="L803">
        <f>K803/F803*100</f>
        <v/>
      </c>
    </row>
    <row r="804">
      <c r="A804" t="inlineStr">
        <is>
          <t>subject10</t>
        </is>
      </c>
      <c r="B804" t="n">
        <v>59</v>
      </c>
      <c r="C804" t="n">
        <v>290</v>
      </c>
      <c r="D804" t="n">
        <v>310</v>
      </c>
      <c r="E804" t="n">
        <v>1.0004</v>
      </c>
      <c r="F804" t="n">
        <v>60.02</v>
      </c>
      <c r="G804">
        <f>H804/60</f>
        <v/>
      </c>
      <c r="H804">
        <f>MEDIAN(I802,I803,I804,I805,I806)</f>
        <v/>
      </c>
      <c r="I804" t="n">
        <v>60</v>
      </c>
      <c r="J804">
        <f>H804-F804</f>
        <v/>
      </c>
      <c r="K804">
        <f>ABS(J804)</f>
        <v/>
      </c>
      <c r="L804">
        <f>K804/F804*100</f>
        <v/>
      </c>
    </row>
    <row r="805">
      <c r="A805" t="inlineStr">
        <is>
          <t>subject10</t>
        </is>
      </c>
      <c r="B805" t="n">
        <v>60</v>
      </c>
      <c r="C805" t="n">
        <v>295</v>
      </c>
      <c r="D805" t="n">
        <v>315</v>
      </c>
      <c r="E805" t="n">
        <v>1.0007</v>
      </c>
      <c r="F805" t="n">
        <v>60.04</v>
      </c>
      <c r="G805">
        <f>H805/60</f>
        <v/>
      </c>
      <c r="H805">
        <f>MEDIAN(I803,I804,I805,I806,I807)</f>
        <v/>
      </c>
      <c r="I805" t="n">
        <v>87</v>
      </c>
      <c r="J805">
        <f>H805-F805</f>
        <v/>
      </c>
      <c r="K805">
        <f>ABS(J805)</f>
        <v/>
      </c>
      <c r="L805">
        <f>K805/F805*100</f>
        <v/>
      </c>
    </row>
    <row r="806">
      <c r="A806" t="inlineStr">
        <is>
          <t>subject10</t>
        </is>
      </c>
      <c r="B806" t="n">
        <v>61</v>
      </c>
      <c r="C806" t="n">
        <v>300</v>
      </c>
      <c r="D806" t="n">
        <v>320</v>
      </c>
      <c r="E806" t="n">
        <v>1.0055</v>
      </c>
      <c r="F806" t="n">
        <v>60.33</v>
      </c>
      <c r="G806">
        <f>H806/60</f>
        <v/>
      </c>
      <c r="H806">
        <f>MEDIAN(I804,I805,I806,I807,I808)</f>
        <v/>
      </c>
      <c r="I806" t="n">
        <v>87</v>
      </c>
      <c r="J806">
        <f>H806-F806</f>
        <v/>
      </c>
      <c r="K806">
        <f>ABS(J806)</f>
        <v/>
      </c>
      <c r="L806">
        <f>K806/F806*100</f>
        <v/>
      </c>
    </row>
    <row r="807">
      <c r="A807" t="inlineStr">
        <is>
          <t>subject10</t>
        </is>
      </c>
      <c r="B807" t="n">
        <v>62</v>
      </c>
      <c r="C807" t="n">
        <v>305</v>
      </c>
      <c r="D807" t="n">
        <v>325</v>
      </c>
      <c r="E807" t="n">
        <v>1.0181</v>
      </c>
      <c r="F807" t="n">
        <v>61.09</v>
      </c>
      <c r="G807">
        <f>H807/60</f>
        <v/>
      </c>
      <c r="H807">
        <f>MEDIAN(I805,I806,I807,I808,I809)</f>
        <v/>
      </c>
      <c r="I807" t="n">
        <v>105</v>
      </c>
      <c r="J807">
        <f>H807-F807</f>
        <v/>
      </c>
      <c r="K807">
        <f>ABS(J807)</f>
        <v/>
      </c>
      <c r="L807">
        <f>K807/F807*100</f>
        <v/>
      </c>
    </row>
    <row r="808">
      <c r="A808" t="inlineStr">
        <is>
          <t>subject10</t>
        </is>
      </c>
      <c r="B808" t="n">
        <v>63</v>
      </c>
      <c r="C808" t="n">
        <v>310</v>
      </c>
      <c r="D808" t="n">
        <v>330</v>
      </c>
      <c r="E808" t="n">
        <v>1.0328</v>
      </c>
      <c r="F808" t="n">
        <v>61.97</v>
      </c>
      <c r="G808">
        <f>H808/60</f>
        <v/>
      </c>
      <c r="H808">
        <f>MEDIAN(I806,I807,I808,I809,I810)</f>
        <v/>
      </c>
      <c r="I808" t="n">
        <v>63</v>
      </c>
      <c r="J808">
        <f>H808-F808</f>
        <v/>
      </c>
      <c r="K808">
        <f>ABS(J808)</f>
        <v/>
      </c>
      <c r="L808">
        <f>K808/F808*100</f>
        <v/>
      </c>
    </row>
    <row r="809">
      <c r="A809" t="inlineStr">
        <is>
          <t>subject10</t>
        </is>
      </c>
      <c r="B809" t="n">
        <v>64</v>
      </c>
      <c r="C809" t="n">
        <v>315</v>
      </c>
      <c r="D809" t="n">
        <v>335</v>
      </c>
      <c r="E809" t="n">
        <v>1.032</v>
      </c>
      <c r="F809" t="n">
        <v>61.92</v>
      </c>
      <c r="G809">
        <f>H809/60</f>
        <v/>
      </c>
      <c r="H809">
        <f>MEDIAN(I807,I808,I809,I810,I811)</f>
        <v/>
      </c>
      <c r="I809" t="n">
        <v>60</v>
      </c>
      <c r="J809">
        <f>H809-F809</f>
        <v/>
      </c>
      <c r="K809">
        <f>ABS(J809)</f>
        <v/>
      </c>
      <c r="L809">
        <f>K809/F809*100</f>
        <v/>
      </c>
    </row>
    <row r="810">
      <c r="A810" t="inlineStr">
        <is>
          <t>subject10</t>
        </is>
      </c>
      <c r="B810" t="n">
        <v>65</v>
      </c>
      <c r="C810" t="n">
        <v>320</v>
      </c>
      <c r="D810" t="n">
        <v>340</v>
      </c>
      <c r="E810" t="n">
        <v>1.0055</v>
      </c>
      <c r="F810" t="n">
        <v>60.33</v>
      </c>
      <c r="G810">
        <f>H810/60</f>
        <v/>
      </c>
      <c r="H810">
        <f>MEDIAN(I808,I809,I810,I811,I812)</f>
        <v/>
      </c>
      <c r="I810" t="n">
        <v>63</v>
      </c>
      <c r="J810">
        <f>H810-F810</f>
        <v/>
      </c>
      <c r="K810">
        <f>ABS(J810)</f>
        <v/>
      </c>
      <c r="L810">
        <f>K810/F810*100</f>
        <v/>
      </c>
    </row>
    <row r="811">
      <c r="A811" t="inlineStr">
        <is>
          <t>subject10</t>
        </is>
      </c>
      <c r="B811" t="n">
        <v>66</v>
      </c>
      <c r="C811" t="n">
        <v>325</v>
      </c>
      <c r="D811" t="n">
        <v>345</v>
      </c>
      <c r="E811" t="n">
        <v>0.9887</v>
      </c>
      <c r="F811" t="n">
        <v>59.32</v>
      </c>
      <c r="G811">
        <f>H811/60</f>
        <v/>
      </c>
      <c r="H811">
        <f>MEDIAN(I809,I810,I811,I812,I813)</f>
        <v/>
      </c>
      <c r="I811" t="n">
        <v>57</v>
      </c>
      <c r="J811">
        <f>H811-F811</f>
        <v/>
      </c>
      <c r="K811">
        <f>ABS(J811)</f>
        <v/>
      </c>
      <c r="L811">
        <f>K811/F811*100</f>
        <v/>
      </c>
    </row>
    <row r="812">
      <c r="A812" t="inlineStr">
        <is>
          <t>subject10</t>
        </is>
      </c>
      <c r="B812" t="n">
        <v>67</v>
      </c>
      <c r="C812" t="n">
        <v>330</v>
      </c>
      <c r="D812" t="n">
        <v>350</v>
      </c>
      <c r="E812" t="n">
        <v>0.9873</v>
      </c>
      <c r="F812" t="n">
        <v>59.24</v>
      </c>
      <c r="G812">
        <f>H812/60</f>
        <v/>
      </c>
      <c r="H812">
        <f>MEDIAN(I810,I811,I812,I813,I814)</f>
        <v/>
      </c>
      <c r="I812" t="n">
        <v>57</v>
      </c>
      <c r="J812">
        <f>H812-F812</f>
        <v/>
      </c>
      <c r="K812">
        <f>ABS(J812)</f>
        <v/>
      </c>
      <c r="L812">
        <f>K812/F812*100</f>
        <v/>
      </c>
    </row>
    <row r="813">
      <c r="A813" t="inlineStr">
        <is>
          <t>subject10</t>
        </is>
      </c>
      <c r="B813" t="n">
        <v>68</v>
      </c>
      <c r="C813" t="n">
        <v>335</v>
      </c>
      <c r="D813" t="n">
        <v>355</v>
      </c>
      <c r="E813" t="n">
        <v>0.9669</v>
      </c>
      <c r="F813" t="n">
        <v>58.01</v>
      </c>
      <c r="G813">
        <f>H813/60</f>
        <v/>
      </c>
      <c r="H813">
        <f>MEDIAN(I811,I812,I813,I814,I815)</f>
        <v/>
      </c>
      <c r="I813" t="n">
        <v>60</v>
      </c>
      <c r="J813">
        <f>H813-F813</f>
        <v/>
      </c>
      <c r="K813">
        <f>ABS(J813)</f>
        <v/>
      </c>
      <c r="L813">
        <f>K813/F813*100</f>
        <v/>
      </c>
    </row>
    <row r="814">
      <c r="A814" t="inlineStr">
        <is>
          <t>subject10</t>
        </is>
      </c>
      <c r="B814" t="n">
        <v>69</v>
      </c>
      <c r="C814" t="n">
        <v>340</v>
      </c>
      <c r="D814" t="n">
        <v>360</v>
      </c>
      <c r="E814" t="n">
        <v>0.9899</v>
      </c>
      <c r="F814" t="n">
        <v>59.39</v>
      </c>
      <c r="G814">
        <f>H814/60</f>
        <v/>
      </c>
      <c r="H814">
        <f>MEDIAN(I812,I813,I814,I815,I816)</f>
        <v/>
      </c>
      <c r="I814" t="n">
        <v>60</v>
      </c>
      <c r="J814">
        <f>H814-F814</f>
        <v/>
      </c>
      <c r="K814">
        <f>ABS(J814)</f>
        <v/>
      </c>
      <c r="L814">
        <f>K814/F814*100</f>
        <v/>
      </c>
    </row>
    <row r="815">
      <c r="A815" t="inlineStr">
        <is>
          <t>subject10</t>
        </is>
      </c>
      <c r="B815" t="n">
        <v>70</v>
      </c>
      <c r="C815" t="n">
        <v>345</v>
      </c>
      <c r="D815" t="n">
        <v>365</v>
      </c>
      <c r="E815" t="n">
        <v>1.0044</v>
      </c>
      <c r="F815" t="n">
        <v>60.26</v>
      </c>
      <c r="G815">
        <f>H815/60</f>
        <v/>
      </c>
      <c r="H815">
        <f>MEDIAN(I813,I814,I815,I816,I817)</f>
        <v/>
      </c>
      <c r="I815" t="n">
        <v>57</v>
      </c>
      <c r="J815">
        <f>H815-F815</f>
        <v/>
      </c>
      <c r="K815">
        <f>ABS(J815)</f>
        <v/>
      </c>
      <c r="L815">
        <f>K815/F815*100</f>
        <v/>
      </c>
    </row>
    <row r="816">
      <c r="A816" t="inlineStr">
        <is>
          <t>subject10</t>
        </is>
      </c>
      <c r="B816" t="n">
        <v>71</v>
      </c>
      <c r="C816" t="n">
        <v>350</v>
      </c>
      <c r="D816" t="n">
        <v>370</v>
      </c>
      <c r="E816" t="n">
        <v>1.008</v>
      </c>
      <c r="F816" t="n">
        <v>60.48</v>
      </c>
      <c r="G816">
        <f>H816/60</f>
        <v/>
      </c>
      <c r="H816">
        <f>MEDIAN(I814,I815,I816,I817,I818)</f>
        <v/>
      </c>
      <c r="I816" t="n">
        <v>60</v>
      </c>
      <c r="J816">
        <f>H816-F816</f>
        <v/>
      </c>
      <c r="K816">
        <f>ABS(J816)</f>
        <v/>
      </c>
      <c r="L816">
        <f>K816/F816*100</f>
        <v/>
      </c>
    </row>
    <row r="817">
      <c r="A817" t="inlineStr">
        <is>
          <t>subject10</t>
        </is>
      </c>
      <c r="B817" t="n">
        <v>72</v>
      </c>
      <c r="C817" t="n">
        <v>355</v>
      </c>
      <c r="D817" t="n">
        <v>375</v>
      </c>
      <c r="E817" t="n">
        <v>1.0408</v>
      </c>
      <c r="F817" t="n">
        <v>62.45</v>
      </c>
      <c r="G817">
        <f>H817/60</f>
        <v/>
      </c>
      <c r="H817">
        <f>MEDIAN(I815,I816,I817,I818,I819)</f>
        <v/>
      </c>
      <c r="I817" t="n">
        <v>99</v>
      </c>
      <c r="J817">
        <f>H817-F817</f>
        <v/>
      </c>
      <c r="K817">
        <f>ABS(J817)</f>
        <v/>
      </c>
      <c r="L817">
        <f>K817/F817*100</f>
        <v/>
      </c>
    </row>
    <row r="818">
      <c r="A818" t="inlineStr">
        <is>
          <t>subject10</t>
        </is>
      </c>
      <c r="B818" t="n">
        <v>73</v>
      </c>
      <c r="C818" t="n">
        <v>360</v>
      </c>
      <c r="D818" t="n">
        <v>380</v>
      </c>
      <c r="E818" t="n">
        <v>1.0484</v>
      </c>
      <c r="F818" t="n">
        <v>62.91</v>
      </c>
      <c r="G818">
        <f>H818/60</f>
        <v/>
      </c>
      <c r="H818">
        <f>MEDIAN(I816,I817,I818,I819,I820)</f>
        <v/>
      </c>
      <c r="I818" t="n">
        <v>63</v>
      </c>
      <c r="J818">
        <f>H818-F818</f>
        <v/>
      </c>
      <c r="K818">
        <f>ABS(J818)</f>
        <v/>
      </c>
      <c r="L818">
        <f>K818/F818*100</f>
        <v/>
      </c>
    </row>
    <row r="819">
      <c r="A819" t="inlineStr">
        <is>
          <t>subject10</t>
        </is>
      </c>
      <c r="B819" t="n">
        <v>74</v>
      </c>
      <c r="C819" t="n">
        <v>365</v>
      </c>
      <c r="D819" t="n">
        <v>385</v>
      </c>
      <c r="E819" t="n">
        <v>1.0658</v>
      </c>
      <c r="F819" t="n">
        <v>63.95</v>
      </c>
      <c r="G819">
        <f>H819/60</f>
        <v/>
      </c>
      <c r="H819">
        <f>MEDIAN(I817,I818,I819,I820,I821)</f>
        <v/>
      </c>
      <c r="I819" t="n">
        <v>81</v>
      </c>
      <c r="J819">
        <f>H819-F819</f>
        <v/>
      </c>
      <c r="K819">
        <f>ABS(J819)</f>
        <v/>
      </c>
      <c r="L819">
        <f>K819/F819*100</f>
        <v/>
      </c>
    </row>
    <row r="820">
      <c r="A820" t="inlineStr">
        <is>
          <t>subject10</t>
        </is>
      </c>
      <c r="B820" t="n">
        <v>75</v>
      </c>
      <c r="C820" t="n">
        <v>370</v>
      </c>
      <c r="D820" t="n">
        <v>390</v>
      </c>
      <c r="E820" t="n">
        <v>1.0877</v>
      </c>
      <c r="F820" t="n">
        <v>65.26000000000001</v>
      </c>
      <c r="G820">
        <f>H820/60</f>
        <v/>
      </c>
      <c r="H820">
        <f>MEDIAN(I818,I819,I820,I821,I822)</f>
        <v/>
      </c>
      <c r="I820" t="n">
        <v>75</v>
      </c>
      <c r="J820">
        <f>H820-F820</f>
        <v/>
      </c>
      <c r="K820">
        <f>ABS(J820)</f>
        <v/>
      </c>
      <c r="L820">
        <f>K820/F820*100</f>
        <v/>
      </c>
    </row>
    <row r="821">
      <c r="A821" t="inlineStr">
        <is>
          <t>subject10</t>
        </is>
      </c>
      <c r="B821" t="n">
        <v>76</v>
      </c>
      <c r="C821" t="n">
        <v>375</v>
      </c>
      <c r="D821" t="n">
        <v>395</v>
      </c>
      <c r="E821" t="n">
        <v>1.1055</v>
      </c>
      <c r="F821" t="n">
        <v>66.33</v>
      </c>
      <c r="G821">
        <f>H821/60</f>
        <v/>
      </c>
      <c r="H821">
        <f>MEDIAN(I819,I820,I821,I822,I823)</f>
        <v/>
      </c>
      <c r="I821" t="n">
        <v>75</v>
      </c>
      <c r="J821">
        <f>H821-F821</f>
        <v/>
      </c>
      <c r="K821">
        <f>ABS(J821)</f>
        <v/>
      </c>
      <c r="L821">
        <f>K821/F821*100</f>
        <v/>
      </c>
    </row>
    <row r="822">
      <c r="A822" t="inlineStr">
        <is>
          <t>subject10</t>
        </is>
      </c>
      <c r="B822" t="n">
        <v>77</v>
      </c>
      <c r="C822" t="n">
        <v>380</v>
      </c>
      <c r="D822" t="n">
        <v>400</v>
      </c>
      <c r="E822" t="n">
        <v>1.1103</v>
      </c>
      <c r="F822" t="n">
        <v>66.62</v>
      </c>
      <c r="G822">
        <f>H822/60</f>
        <v/>
      </c>
      <c r="H822">
        <f>MEDIAN(I820,I821,I822,I823,I824)</f>
        <v/>
      </c>
      <c r="I822" t="n">
        <v>75</v>
      </c>
      <c r="J822">
        <f>H822-F822</f>
        <v/>
      </c>
      <c r="K822">
        <f>ABS(J822)</f>
        <v/>
      </c>
      <c r="L822">
        <f>K822/F822*100</f>
        <v/>
      </c>
    </row>
    <row r="823">
      <c r="A823" t="inlineStr">
        <is>
          <t>subject10</t>
        </is>
      </c>
      <c r="B823" t="n">
        <v>78</v>
      </c>
      <c r="C823" t="n">
        <v>385</v>
      </c>
      <c r="D823" t="n">
        <v>405</v>
      </c>
      <c r="E823" t="n">
        <v>1.1034</v>
      </c>
      <c r="F823" t="n">
        <v>66.2</v>
      </c>
      <c r="G823">
        <f>H823/60</f>
        <v/>
      </c>
      <c r="H823">
        <f>MEDIAN(I821,I822,I823,I824,I825)</f>
        <v/>
      </c>
      <c r="I823" t="n">
        <v>54</v>
      </c>
      <c r="J823">
        <f>H823-F823</f>
        <v/>
      </c>
      <c r="K823">
        <f>ABS(J823)</f>
        <v/>
      </c>
      <c r="L823">
        <f>K823/F823*100</f>
        <v/>
      </c>
    </row>
    <row r="824">
      <c r="A824" t="inlineStr">
        <is>
          <t>subject10</t>
        </is>
      </c>
      <c r="B824" t="n">
        <v>79</v>
      </c>
      <c r="C824" t="n">
        <v>390</v>
      </c>
      <c r="D824" t="n">
        <v>410</v>
      </c>
      <c r="E824" t="n">
        <v>1.0585</v>
      </c>
      <c r="F824" t="n">
        <v>63.51</v>
      </c>
      <c r="G824">
        <f>H824/60</f>
        <v/>
      </c>
      <c r="H824">
        <f>MEDIAN(I822,I823,I824,I825,I826)</f>
        <v/>
      </c>
      <c r="I824" t="n">
        <v>102</v>
      </c>
      <c r="J824">
        <f>H824-F824</f>
        <v/>
      </c>
      <c r="K824">
        <f>ABS(J824)</f>
        <v/>
      </c>
      <c r="L824">
        <f>K824/F824*100</f>
        <v/>
      </c>
    </row>
    <row r="825">
      <c r="A825" t="inlineStr">
        <is>
          <t>subject10</t>
        </is>
      </c>
      <c r="B825" t="n">
        <v>80</v>
      </c>
      <c r="C825" t="n">
        <v>395</v>
      </c>
      <c r="D825" t="n">
        <v>415</v>
      </c>
      <c r="E825" t="n">
        <v>1.0239</v>
      </c>
      <c r="F825" t="n">
        <v>61.44</v>
      </c>
      <c r="G825">
        <f>H825/60</f>
        <v/>
      </c>
      <c r="H825">
        <f>MEDIAN(I823,I824,I825,I826,I827)</f>
        <v/>
      </c>
      <c r="I825" t="n">
        <v>57</v>
      </c>
      <c r="J825">
        <f>H825-F825</f>
        <v/>
      </c>
      <c r="K825">
        <f>ABS(J825)</f>
        <v/>
      </c>
      <c r="L825">
        <f>K825/F825*100</f>
        <v/>
      </c>
    </row>
    <row r="826">
      <c r="A826" t="inlineStr">
        <is>
          <t>subject10</t>
        </is>
      </c>
      <c r="B826" t="n">
        <v>81</v>
      </c>
      <c r="C826" t="n">
        <v>400</v>
      </c>
      <c r="D826" t="n">
        <v>420</v>
      </c>
      <c r="E826" t="n">
        <v>1.0074</v>
      </c>
      <c r="F826" t="n">
        <v>60.44</v>
      </c>
      <c r="G826">
        <f>H826/60</f>
        <v/>
      </c>
      <c r="H826">
        <f>MEDIAN(I824,I825,I826,I827,I828)</f>
        <v/>
      </c>
      <c r="I826" t="n">
        <v>57</v>
      </c>
      <c r="J826">
        <f>H826-F826</f>
        <v/>
      </c>
      <c r="K826">
        <f>ABS(J826)</f>
        <v/>
      </c>
      <c r="L826">
        <f>K826/F826*100</f>
        <v/>
      </c>
    </row>
    <row r="827">
      <c r="A827" t="inlineStr">
        <is>
          <t>subject10</t>
        </is>
      </c>
      <c r="B827" t="n">
        <v>82</v>
      </c>
      <c r="C827" t="n">
        <v>405</v>
      </c>
      <c r="D827" t="n">
        <v>425</v>
      </c>
      <c r="E827" t="n">
        <v>0.9984</v>
      </c>
      <c r="F827" t="n">
        <v>59.9</v>
      </c>
      <c r="G827">
        <f>H827/60</f>
        <v/>
      </c>
      <c r="H827">
        <f>MEDIAN(I825,I826,I827,I828,I829)</f>
        <v/>
      </c>
      <c r="I827" t="n">
        <v>60</v>
      </c>
      <c r="J827">
        <f>H827-F827</f>
        <v/>
      </c>
      <c r="K827">
        <f>ABS(J827)</f>
        <v/>
      </c>
      <c r="L827">
        <f>K827/F827*100</f>
        <v/>
      </c>
    </row>
    <row r="828">
      <c r="A828" t="inlineStr">
        <is>
          <t>subject10</t>
        </is>
      </c>
      <c r="B828" t="n">
        <v>83</v>
      </c>
      <c r="C828" t="n">
        <v>410</v>
      </c>
      <c r="D828" t="n">
        <v>430</v>
      </c>
      <c r="E828" t="n">
        <v>1.0175</v>
      </c>
      <c r="F828" t="n">
        <v>61.05</v>
      </c>
      <c r="G828">
        <f>H828/60</f>
        <v/>
      </c>
      <c r="H828">
        <f>MEDIAN(I826,I827,I828,I829,I830)</f>
        <v/>
      </c>
      <c r="I828" t="n">
        <v>96</v>
      </c>
      <c r="J828">
        <f>H828-F828</f>
        <v/>
      </c>
      <c r="K828">
        <f>ABS(J828)</f>
        <v/>
      </c>
      <c r="L828">
        <f>K828/F828*100</f>
        <v/>
      </c>
    </row>
    <row r="829">
      <c r="A829" t="inlineStr">
        <is>
          <t>subject10</t>
        </is>
      </c>
      <c r="B829" t="n">
        <v>84</v>
      </c>
      <c r="C829" t="n">
        <v>415</v>
      </c>
      <c r="D829" t="n">
        <v>435</v>
      </c>
      <c r="E829" t="n">
        <v>1.0034</v>
      </c>
      <c r="F829" t="n">
        <v>60.2</v>
      </c>
      <c r="G829">
        <f>H829/60</f>
        <v/>
      </c>
      <c r="H829">
        <f>MEDIAN(I827,I828,I829,I830,I831)</f>
        <v/>
      </c>
      <c r="I829" t="n">
        <v>81</v>
      </c>
      <c r="J829">
        <f>H829-F829</f>
        <v/>
      </c>
      <c r="K829">
        <f>ABS(J829)</f>
        <v/>
      </c>
      <c r="L829">
        <f>K829/F829*100</f>
        <v/>
      </c>
    </row>
    <row r="830">
      <c r="A830" t="inlineStr">
        <is>
          <t>subject10</t>
        </is>
      </c>
      <c r="B830" t="n">
        <v>85</v>
      </c>
      <c r="C830" t="n">
        <v>420</v>
      </c>
      <c r="D830" t="n">
        <v>440</v>
      </c>
      <c r="E830" t="n">
        <v>0.9735</v>
      </c>
      <c r="F830" t="n">
        <v>58.41</v>
      </c>
      <c r="G830">
        <f>H830/60</f>
        <v/>
      </c>
      <c r="H830">
        <f>MEDIAN(I828,I829,I830,I831,I832)</f>
        <v/>
      </c>
      <c r="I830" t="n">
        <v>81</v>
      </c>
      <c r="J830">
        <f>H830-F830</f>
        <v/>
      </c>
      <c r="K830">
        <f>ABS(J830)</f>
        <v/>
      </c>
      <c r="L830">
        <f>K830/F830*100</f>
        <v/>
      </c>
    </row>
    <row r="831">
      <c r="A831" t="inlineStr">
        <is>
          <t>subject10</t>
        </is>
      </c>
      <c r="B831" t="n">
        <v>86</v>
      </c>
      <c r="C831" t="n">
        <v>425</v>
      </c>
      <c r="D831" t="n">
        <v>445</v>
      </c>
      <c r="E831" t="n">
        <v>0.9273</v>
      </c>
      <c r="F831" t="n">
        <v>55.64</v>
      </c>
      <c r="G831">
        <f>H831/60</f>
        <v/>
      </c>
      <c r="H831">
        <f>MEDIAN(I829,I830,I831,I832,I833)</f>
        <v/>
      </c>
      <c r="I831" t="n">
        <v>81</v>
      </c>
      <c r="J831">
        <f>H831-F831</f>
        <v/>
      </c>
      <c r="K831">
        <f>ABS(J831)</f>
        <v/>
      </c>
      <c r="L831">
        <f>K831/F831*100</f>
        <v/>
      </c>
    </row>
    <row r="832">
      <c r="A832" t="inlineStr">
        <is>
          <t>subject10</t>
        </is>
      </c>
      <c r="B832" t="n">
        <v>87</v>
      </c>
      <c r="C832" t="n">
        <v>430</v>
      </c>
      <c r="D832" t="n">
        <v>450</v>
      </c>
      <c r="E832" t="n">
        <v>0.8891</v>
      </c>
      <c r="F832" t="n">
        <v>53.35</v>
      </c>
      <c r="G832">
        <f>H832/60</f>
        <v/>
      </c>
      <c r="H832">
        <f>MEDIAN(I830,I831,I832,I833,I834)</f>
        <v/>
      </c>
      <c r="I832" t="n">
        <v>105</v>
      </c>
      <c r="J832">
        <f>H832-F832</f>
        <v/>
      </c>
      <c r="K832">
        <f>ABS(J832)</f>
        <v/>
      </c>
      <c r="L832">
        <f>K832/F832*100</f>
        <v/>
      </c>
    </row>
    <row r="833">
      <c r="A833" t="inlineStr">
        <is>
          <t>subject10</t>
        </is>
      </c>
      <c r="B833" t="n">
        <v>88</v>
      </c>
      <c r="C833" t="n">
        <v>435</v>
      </c>
      <c r="D833" t="n">
        <v>455</v>
      </c>
      <c r="E833" t="n">
        <v>0.8732</v>
      </c>
      <c r="F833" t="n">
        <v>52.39</v>
      </c>
      <c r="G833">
        <f>H833/60</f>
        <v/>
      </c>
      <c r="H833">
        <f>MEDIAN(I831,I832,I833,I834,I835)</f>
        <v/>
      </c>
      <c r="I833" t="n">
        <v>102</v>
      </c>
      <c r="J833">
        <f>H833-F833</f>
        <v/>
      </c>
      <c r="K833">
        <f>ABS(J833)</f>
        <v/>
      </c>
      <c r="L833">
        <f>K833/F833*100</f>
        <v/>
      </c>
    </row>
    <row r="834">
      <c r="A834" t="inlineStr">
        <is>
          <t>subject10</t>
        </is>
      </c>
      <c r="B834" t="n">
        <v>89</v>
      </c>
      <c r="C834" t="n">
        <v>440</v>
      </c>
      <c r="D834" t="n">
        <v>460</v>
      </c>
      <c r="E834" t="n">
        <v>0.8826000000000001</v>
      </c>
      <c r="F834" t="n">
        <v>52.96</v>
      </c>
      <c r="G834">
        <f>H834/60</f>
        <v/>
      </c>
      <c r="H834">
        <f>MEDIAN(I832,I833,I834,I835,I836)</f>
        <v/>
      </c>
      <c r="I834" t="n">
        <v>105</v>
      </c>
      <c r="J834">
        <f>H834-F834</f>
        <v/>
      </c>
      <c r="K834">
        <f>ABS(J834)</f>
        <v/>
      </c>
      <c r="L834">
        <f>K834/F834*100</f>
        <v/>
      </c>
    </row>
    <row r="835">
      <c r="A835" t="inlineStr">
        <is>
          <t>subject10</t>
        </is>
      </c>
      <c r="B835" t="n">
        <v>90</v>
      </c>
      <c r="C835" t="n">
        <v>445</v>
      </c>
      <c r="D835" t="n">
        <v>465</v>
      </c>
      <c r="E835" t="n">
        <v>0.916</v>
      </c>
      <c r="F835" t="n">
        <v>54.96</v>
      </c>
      <c r="G835">
        <f>H835/60</f>
        <v/>
      </c>
      <c r="H835">
        <f>MEDIAN(I833,I834,I835,I836,I837)</f>
        <v/>
      </c>
      <c r="I835" t="n">
        <v>105</v>
      </c>
      <c r="J835">
        <f>H835-F835</f>
        <v/>
      </c>
      <c r="K835">
        <f>ABS(J835)</f>
        <v/>
      </c>
      <c r="L835">
        <f>K835/F835*100</f>
        <v/>
      </c>
    </row>
    <row r="836">
      <c r="A836" t="inlineStr">
        <is>
          <t>subject10</t>
        </is>
      </c>
      <c r="B836" t="n">
        <v>91</v>
      </c>
      <c r="C836" t="n">
        <v>450</v>
      </c>
      <c r="D836" t="n">
        <v>470</v>
      </c>
      <c r="E836" t="n">
        <v>0.9552</v>
      </c>
      <c r="F836" t="n">
        <v>57.31</v>
      </c>
      <c r="G836">
        <f>H836/60</f>
        <v/>
      </c>
      <c r="H836">
        <f>MEDIAN(I834,I835,I836,I837,I838)</f>
        <v/>
      </c>
      <c r="I836" t="n">
        <v>57</v>
      </c>
      <c r="J836">
        <f>H836-F836</f>
        <v/>
      </c>
      <c r="K836">
        <f>ABS(J836)</f>
        <v/>
      </c>
      <c r="L836">
        <f>K836/F836*100</f>
        <v/>
      </c>
    </row>
    <row r="837">
      <c r="A837" t="inlineStr">
        <is>
          <t>subject10</t>
        </is>
      </c>
      <c r="B837" t="n">
        <v>92</v>
      </c>
      <c r="C837" t="n">
        <v>455</v>
      </c>
      <c r="D837" t="n">
        <v>475</v>
      </c>
      <c r="E837" t="n">
        <v>1.0022</v>
      </c>
      <c r="F837" t="n">
        <v>60.13</v>
      </c>
      <c r="G837">
        <f>H837/60</f>
        <v/>
      </c>
      <c r="H837">
        <f>MEDIAN(I835,I836,I837,I838,I839)</f>
        <v/>
      </c>
      <c r="I837" t="n">
        <v>96</v>
      </c>
      <c r="J837">
        <f>H837-F837</f>
        <v/>
      </c>
      <c r="K837">
        <f>ABS(J837)</f>
        <v/>
      </c>
      <c r="L837">
        <f>K837/F837*100</f>
        <v/>
      </c>
    </row>
    <row r="838">
      <c r="A838" t="inlineStr">
        <is>
          <t>subject10</t>
        </is>
      </c>
      <c r="B838" t="n">
        <v>93</v>
      </c>
      <c r="C838" t="n">
        <v>460</v>
      </c>
      <c r="D838" t="n">
        <v>480</v>
      </c>
      <c r="E838" t="n">
        <v>1.0396</v>
      </c>
      <c r="F838" t="n">
        <v>62.38</v>
      </c>
      <c r="G838">
        <f>H838/60</f>
        <v/>
      </c>
      <c r="H838">
        <f>MEDIAN(I836,I837,I838,I839,I840)</f>
        <v/>
      </c>
      <c r="I838" t="n">
        <v>63</v>
      </c>
      <c r="J838">
        <f>H838-F838</f>
        <v/>
      </c>
      <c r="K838">
        <f>ABS(J838)</f>
        <v/>
      </c>
      <c r="L838">
        <f>K838/F838*100</f>
        <v/>
      </c>
    </row>
    <row r="839">
      <c r="A839" t="inlineStr">
        <is>
          <t>subject10</t>
        </is>
      </c>
      <c r="B839" t="n">
        <v>94</v>
      </c>
      <c r="C839" t="n">
        <v>465</v>
      </c>
      <c r="D839" t="n">
        <v>485</v>
      </c>
      <c r="E839" t="n">
        <v>1.0635</v>
      </c>
      <c r="F839" t="n">
        <v>63.81</v>
      </c>
      <c r="G839">
        <f>H839/60</f>
        <v/>
      </c>
      <c r="H839">
        <f>MEDIAN(I837,I838,I839,I840,I841)</f>
        <v/>
      </c>
      <c r="I839" t="n">
        <v>63</v>
      </c>
      <c r="J839">
        <f>H839-F839</f>
        <v/>
      </c>
      <c r="K839">
        <f>ABS(J839)</f>
        <v/>
      </c>
      <c r="L839">
        <f>K839/F839*100</f>
        <v/>
      </c>
    </row>
    <row r="840">
      <c r="A840" t="inlineStr">
        <is>
          <t>subject10</t>
        </is>
      </c>
      <c r="B840" t="n">
        <v>95</v>
      </c>
      <c r="C840" t="n">
        <v>470</v>
      </c>
      <c r="D840" t="n">
        <v>490</v>
      </c>
      <c r="E840" t="n">
        <v>1.0731</v>
      </c>
      <c r="F840" t="n">
        <v>64.38</v>
      </c>
      <c r="G840">
        <f>H840/60</f>
        <v/>
      </c>
      <c r="H840">
        <f>MEDIAN(I838,I839,I840,I841,0)</f>
        <v/>
      </c>
      <c r="I840" t="n">
        <v>63</v>
      </c>
      <c r="J840">
        <f>H840-F840</f>
        <v/>
      </c>
      <c r="K840">
        <f>ABS(J840)</f>
        <v/>
      </c>
      <c r="L840">
        <f>K840/F840*100</f>
        <v/>
      </c>
    </row>
    <row r="841">
      <c r="A841" t="inlineStr">
        <is>
          <t>subject10</t>
        </is>
      </c>
      <c r="B841" t="n">
        <v>96</v>
      </c>
      <c r="C841" t="n">
        <v>475</v>
      </c>
      <c r="D841" t="n">
        <v>495</v>
      </c>
      <c r="E841" t="n">
        <v>1.0787</v>
      </c>
      <c r="F841" t="n">
        <v>64.72</v>
      </c>
      <c r="G841">
        <f>H841/60</f>
        <v/>
      </c>
      <c r="H841">
        <f>MEDIAN(I839,I840,I841,0,0)</f>
        <v/>
      </c>
      <c r="I841" t="n">
        <v>60</v>
      </c>
      <c r="J841">
        <f>H841-F841</f>
        <v/>
      </c>
      <c r="K841">
        <f>ABS(J841)</f>
        <v/>
      </c>
      <c r="L841">
        <f>K841/F841*100</f>
        <v/>
      </c>
    </row>
    <row r="843">
      <c r="A843" s="2" t="inlineStr">
        <is>
          <t>RINGKASAN</t>
        </is>
      </c>
    </row>
    <row r="844">
      <c r="A844" s="3" t="inlineStr">
        <is>
          <t>keterangan</t>
        </is>
      </c>
      <c r="B844" s="3" t="inlineStr">
        <is>
          <t>subjek</t>
        </is>
      </c>
      <c r="C844" s="3" t="inlineStr">
        <is>
          <t>n_jendela</t>
        </is>
      </c>
      <c r="D844" s="3" t="inlineStr">
        <is>
          <t>std_ECG_bpm</t>
        </is>
      </c>
      <c r="E844" s="3" t="inlineStr">
        <is>
          <t>bias_bpm</t>
        </is>
      </c>
      <c r="F844" s="3" t="inlineStr">
        <is>
          <t>std_galat_bpm</t>
        </is>
      </c>
      <c r="G844" s="3" t="inlineStr">
        <is>
          <t>RMSE_bpm</t>
        </is>
      </c>
      <c r="J844" s="3" t="inlineStr">
        <is>
          <t>MAE_bpm</t>
        </is>
      </c>
      <c r="L844" s="3" t="inlineStr">
        <is>
          <t>MAPE_persen</t>
        </is>
      </c>
    </row>
    <row r="845">
      <c r="A845" t="inlineStr">
        <is>
          <t>per subjek</t>
        </is>
      </c>
      <c r="B845" t="inlineStr">
        <is>
          <t>subject01</t>
        </is>
      </c>
      <c r="C845">
        <f>COUNTIF($A$2:$A$841,$B845)</f>
        <v/>
      </c>
      <c r="D845" s="4">
        <f>SQRT(SUMPRODUCT(($A$2:$A$841=$B845)*($F$2:$F$841-AVERAGEIF($A$2:$A$841,$B845,$F$2:$F$841))^2)/(COUNTIF($A$2:$A$841,$B845)-1))</f>
        <v/>
      </c>
      <c r="E845" s="4">
        <f>AVERAGEIF($A$2:$A$841,$B845,$J$2:$J$841)</f>
        <v/>
      </c>
      <c r="F845" s="4">
        <f>SQRT(SUMPRODUCT(($A$2:$A$841=$B845)*($J$2:$J$841-$E845)^2)/(COUNTIF($A$2:$A$841,$B845)-1))</f>
        <v/>
      </c>
      <c r="G845" s="4">
        <f>SQRT(SUMPRODUCT(($A$2:$A$841=$B845)*$J$2:$J$841^2)/COUNTIF($A$2:$A$841,$B845))</f>
        <v/>
      </c>
      <c r="J845" s="4">
        <f>AVERAGEIF($A$2:$A$841,$B845,$K$2:$K$841)</f>
        <v/>
      </c>
      <c r="L845" s="4">
        <f>AVERAGEIF($A$2:$A$841,$B845,$L$2:$L$841)</f>
        <v/>
      </c>
    </row>
    <row r="846">
      <c r="A846" t="inlineStr">
        <is>
          <t>per subjek</t>
        </is>
      </c>
      <c r="B846" t="inlineStr">
        <is>
          <t>subject02</t>
        </is>
      </c>
      <c r="C846">
        <f>COUNTIF($A$2:$A$841,$B846)</f>
        <v/>
      </c>
      <c r="D846" s="4">
        <f>SQRT(SUMPRODUCT(($A$2:$A$841=$B846)*($F$2:$F$841-AVERAGEIF($A$2:$A$841,$B846,$F$2:$F$841))^2)/(COUNTIF($A$2:$A$841,$B846)-1))</f>
        <v/>
      </c>
      <c r="E846" s="4">
        <f>AVERAGEIF($A$2:$A$841,$B846,$J$2:$J$841)</f>
        <v/>
      </c>
      <c r="F846" s="4">
        <f>SQRT(SUMPRODUCT(($A$2:$A$841=$B846)*($J$2:$J$841-$E846)^2)/(COUNTIF($A$2:$A$841,$B846)-1))</f>
        <v/>
      </c>
      <c r="G846" s="4">
        <f>SQRT(SUMPRODUCT(($A$2:$A$841=$B846)*$J$2:$J$841^2)/COUNTIF($A$2:$A$841,$B846))</f>
        <v/>
      </c>
      <c r="J846" s="4">
        <f>AVERAGEIF($A$2:$A$841,$B846,$K$2:$K$841)</f>
        <v/>
      </c>
      <c r="L846" s="4">
        <f>AVERAGEIF($A$2:$A$841,$B846,$L$2:$L$841)</f>
        <v/>
      </c>
    </row>
    <row r="847">
      <c r="A847" t="inlineStr">
        <is>
          <t>per subjek</t>
        </is>
      </c>
      <c r="B847" t="inlineStr">
        <is>
          <t>subject03</t>
        </is>
      </c>
      <c r="C847">
        <f>COUNTIF($A$2:$A$841,$B847)</f>
        <v/>
      </c>
      <c r="D847" s="4">
        <f>SQRT(SUMPRODUCT(($A$2:$A$841=$B847)*($F$2:$F$841-AVERAGEIF($A$2:$A$841,$B847,$F$2:$F$841))^2)/(COUNTIF($A$2:$A$841,$B847)-1))</f>
        <v/>
      </c>
      <c r="E847" s="4">
        <f>AVERAGEIF($A$2:$A$841,$B847,$J$2:$J$841)</f>
        <v/>
      </c>
      <c r="F847" s="4">
        <f>SQRT(SUMPRODUCT(($A$2:$A$841=$B847)*($J$2:$J$841-$E847)^2)/(COUNTIF($A$2:$A$841,$B847)-1))</f>
        <v/>
      </c>
      <c r="G847" s="4">
        <f>SQRT(SUMPRODUCT(($A$2:$A$841=$B847)*$J$2:$J$841^2)/COUNTIF($A$2:$A$841,$B847))</f>
        <v/>
      </c>
      <c r="J847" s="4">
        <f>AVERAGEIF($A$2:$A$841,$B847,$K$2:$K$841)</f>
        <v/>
      </c>
      <c r="L847" s="4">
        <f>AVERAGEIF($A$2:$A$841,$B847,$L$2:$L$841)</f>
        <v/>
      </c>
    </row>
    <row r="848">
      <c r="A848" t="inlineStr">
        <is>
          <t>per subjek</t>
        </is>
      </c>
      <c r="B848" t="inlineStr">
        <is>
          <t>subject04</t>
        </is>
      </c>
      <c r="C848">
        <f>COUNTIF($A$2:$A$841,$B848)</f>
        <v/>
      </c>
      <c r="D848" s="4">
        <f>SQRT(SUMPRODUCT(($A$2:$A$841=$B848)*($F$2:$F$841-AVERAGEIF($A$2:$A$841,$B848,$F$2:$F$841))^2)/(COUNTIF($A$2:$A$841,$B848)-1))</f>
        <v/>
      </c>
      <c r="E848" s="4">
        <f>AVERAGEIF($A$2:$A$841,$B848,$J$2:$J$841)</f>
        <v/>
      </c>
      <c r="F848" s="4">
        <f>SQRT(SUMPRODUCT(($A$2:$A$841=$B848)*($J$2:$J$841-$E848)^2)/(COUNTIF($A$2:$A$841,$B848)-1))</f>
        <v/>
      </c>
      <c r="G848" s="4">
        <f>SQRT(SUMPRODUCT(($A$2:$A$841=$B848)*$J$2:$J$841^2)/COUNTIF($A$2:$A$841,$B848))</f>
        <v/>
      </c>
      <c r="J848" s="4">
        <f>AVERAGEIF($A$2:$A$841,$B848,$K$2:$K$841)</f>
        <v/>
      </c>
      <c r="L848" s="4">
        <f>AVERAGEIF($A$2:$A$841,$B848,$L$2:$L$841)</f>
        <v/>
      </c>
    </row>
    <row r="849">
      <c r="A849" t="inlineStr">
        <is>
          <t>per subjek</t>
        </is>
      </c>
      <c r="B849" t="inlineStr">
        <is>
          <t>subject05</t>
        </is>
      </c>
      <c r="C849">
        <f>COUNTIF($A$2:$A$841,$B849)</f>
        <v/>
      </c>
      <c r="D849" s="4">
        <f>SQRT(SUMPRODUCT(($A$2:$A$841=$B849)*($F$2:$F$841-AVERAGEIF($A$2:$A$841,$B849,$F$2:$F$841))^2)/(COUNTIF($A$2:$A$841,$B849)-1))</f>
        <v/>
      </c>
      <c r="E849" s="4">
        <f>AVERAGEIF($A$2:$A$841,$B849,$J$2:$J$841)</f>
        <v/>
      </c>
      <c r="F849" s="4">
        <f>SQRT(SUMPRODUCT(($A$2:$A$841=$B849)*($J$2:$J$841-$E849)^2)/(COUNTIF($A$2:$A$841,$B849)-1))</f>
        <v/>
      </c>
      <c r="G849" s="4">
        <f>SQRT(SUMPRODUCT(($A$2:$A$841=$B849)*$J$2:$J$841^2)/COUNTIF($A$2:$A$841,$B849))</f>
        <v/>
      </c>
      <c r="J849" s="4">
        <f>AVERAGEIF($A$2:$A$841,$B849,$K$2:$K$841)</f>
        <v/>
      </c>
      <c r="L849" s="4">
        <f>AVERAGEIF($A$2:$A$841,$B849,$L$2:$L$841)</f>
        <v/>
      </c>
    </row>
    <row r="850">
      <c r="A850" t="inlineStr">
        <is>
          <t>per subjek</t>
        </is>
      </c>
      <c r="B850" t="inlineStr">
        <is>
          <t>subject06</t>
        </is>
      </c>
      <c r="C850">
        <f>COUNTIF($A$2:$A$841,$B850)</f>
        <v/>
      </c>
      <c r="D850" s="4">
        <f>SQRT(SUMPRODUCT(($A$2:$A$841=$B850)*($F$2:$F$841-AVERAGEIF($A$2:$A$841,$B850,$F$2:$F$841))^2)/(COUNTIF($A$2:$A$841,$B850)-1))</f>
        <v/>
      </c>
      <c r="E850" s="4">
        <f>AVERAGEIF($A$2:$A$841,$B850,$J$2:$J$841)</f>
        <v/>
      </c>
      <c r="F850" s="4">
        <f>SQRT(SUMPRODUCT(($A$2:$A$841=$B850)*($J$2:$J$841-$E850)^2)/(COUNTIF($A$2:$A$841,$B850)-1))</f>
        <v/>
      </c>
      <c r="G850" s="4">
        <f>SQRT(SUMPRODUCT(($A$2:$A$841=$B850)*$J$2:$J$841^2)/COUNTIF($A$2:$A$841,$B850))</f>
        <v/>
      </c>
      <c r="J850" s="4">
        <f>AVERAGEIF($A$2:$A$841,$B850,$K$2:$K$841)</f>
        <v/>
      </c>
      <c r="L850" s="4">
        <f>AVERAGEIF($A$2:$A$841,$B850,$L$2:$L$841)</f>
        <v/>
      </c>
    </row>
    <row r="851">
      <c r="A851" t="inlineStr">
        <is>
          <t>per subjek</t>
        </is>
      </c>
      <c r="B851" t="inlineStr">
        <is>
          <t>subject07</t>
        </is>
      </c>
      <c r="C851">
        <f>COUNTIF($A$2:$A$841,$B851)</f>
        <v/>
      </c>
      <c r="D851" s="4">
        <f>SQRT(SUMPRODUCT(($A$2:$A$841=$B851)*($F$2:$F$841-AVERAGEIF($A$2:$A$841,$B851,$F$2:$F$841))^2)/(COUNTIF($A$2:$A$841,$B851)-1))</f>
        <v/>
      </c>
      <c r="E851" s="4">
        <f>AVERAGEIF($A$2:$A$841,$B851,$J$2:$J$841)</f>
        <v/>
      </c>
      <c r="F851" s="4">
        <f>SQRT(SUMPRODUCT(($A$2:$A$841=$B851)*($J$2:$J$841-$E851)^2)/(COUNTIF($A$2:$A$841,$B851)-1))</f>
        <v/>
      </c>
      <c r="G851" s="4">
        <f>SQRT(SUMPRODUCT(($A$2:$A$841=$B851)*$J$2:$J$841^2)/COUNTIF($A$2:$A$841,$B851))</f>
        <v/>
      </c>
      <c r="J851" s="4">
        <f>AVERAGEIF($A$2:$A$841,$B851,$K$2:$K$841)</f>
        <v/>
      </c>
      <c r="L851" s="4">
        <f>AVERAGEIF($A$2:$A$841,$B851,$L$2:$L$841)</f>
        <v/>
      </c>
    </row>
    <row r="852">
      <c r="A852" t="inlineStr">
        <is>
          <t>per subjek</t>
        </is>
      </c>
      <c r="B852" t="inlineStr">
        <is>
          <t>subject08</t>
        </is>
      </c>
      <c r="C852">
        <f>COUNTIF($A$2:$A$841,$B852)</f>
        <v/>
      </c>
      <c r="D852" s="4">
        <f>SQRT(SUMPRODUCT(($A$2:$A$841=$B852)*($F$2:$F$841-AVERAGEIF($A$2:$A$841,$B852,$F$2:$F$841))^2)/(COUNTIF($A$2:$A$841,$B852)-1))</f>
        <v/>
      </c>
      <c r="E852" s="4">
        <f>AVERAGEIF($A$2:$A$841,$B852,$J$2:$J$841)</f>
        <v/>
      </c>
      <c r="F852" s="4">
        <f>SQRT(SUMPRODUCT(($A$2:$A$841=$B852)*($J$2:$J$841-$E852)^2)/(COUNTIF($A$2:$A$841,$B852)-1))</f>
        <v/>
      </c>
      <c r="G852" s="4">
        <f>SQRT(SUMPRODUCT(($A$2:$A$841=$B852)*$J$2:$J$841^2)/COUNTIF($A$2:$A$841,$B852))</f>
        <v/>
      </c>
      <c r="J852" s="4">
        <f>AVERAGEIF($A$2:$A$841,$B852,$K$2:$K$841)</f>
        <v/>
      </c>
      <c r="L852" s="4">
        <f>AVERAGEIF($A$2:$A$841,$B852,$L$2:$L$841)</f>
        <v/>
      </c>
    </row>
    <row r="853">
      <c r="A853" t="inlineStr">
        <is>
          <t>per subjek</t>
        </is>
      </c>
      <c r="B853" t="inlineStr">
        <is>
          <t>subject09</t>
        </is>
      </c>
      <c r="C853">
        <f>COUNTIF($A$2:$A$841,$B853)</f>
        <v/>
      </c>
      <c r="D853" s="4">
        <f>SQRT(SUMPRODUCT(($A$2:$A$841=$B853)*($F$2:$F$841-AVERAGEIF($A$2:$A$841,$B853,$F$2:$F$841))^2)/(COUNTIF($A$2:$A$841,$B853)-1))</f>
        <v/>
      </c>
      <c r="E853" s="4">
        <f>AVERAGEIF($A$2:$A$841,$B853,$J$2:$J$841)</f>
        <v/>
      </c>
      <c r="F853" s="4">
        <f>SQRT(SUMPRODUCT(($A$2:$A$841=$B853)*($J$2:$J$841-$E853)^2)/(COUNTIF($A$2:$A$841,$B853)-1))</f>
        <v/>
      </c>
      <c r="G853" s="4">
        <f>SQRT(SUMPRODUCT(($A$2:$A$841=$B853)*$J$2:$J$841^2)/COUNTIF($A$2:$A$841,$B853))</f>
        <v/>
      </c>
      <c r="J853" s="4">
        <f>AVERAGEIF($A$2:$A$841,$B853,$K$2:$K$841)</f>
        <v/>
      </c>
      <c r="L853" s="4">
        <f>AVERAGEIF($A$2:$A$841,$B853,$L$2:$L$841)</f>
        <v/>
      </c>
    </row>
    <row r="854">
      <c r="A854" t="inlineStr">
        <is>
          <t>per subjek</t>
        </is>
      </c>
      <c r="B854" t="inlineStr">
        <is>
          <t>subject10</t>
        </is>
      </c>
      <c r="C854">
        <f>COUNTIF($A$2:$A$841,$B854)</f>
        <v/>
      </c>
      <c r="D854" s="4">
        <f>SQRT(SUMPRODUCT(($A$2:$A$841=$B854)*($F$2:$F$841-AVERAGEIF($A$2:$A$841,$B854,$F$2:$F$841))^2)/(COUNTIF($A$2:$A$841,$B854)-1))</f>
        <v/>
      </c>
      <c r="E854" s="4">
        <f>AVERAGEIF($A$2:$A$841,$B854,$J$2:$J$841)</f>
        <v/>
      </c>
      <c r="F854" s="4">
        <f>SQRT(SUMPRODUCT(($A$2:$A$841=$B854)*($J$2:$J$841-$E854)^2)/(COUNTIF($A$2:$A$841,$B854)-1))</f>
        <v/>
      </c>
      <c r="G854" s="4">
        <f>SQRT(SUMPRODUCT(($A$2:$A$841=$B854)*$J$2:$J$841^2)/COUNTIF($A$2:$A$841,$B854))</f>
        <v/>
      </c>
      <c r="J854" s="4">
        <f>AVERAGEIF($A$2:$A$841,$B854,$K$2:$K$841)</f>
        <v/>
      </c>
      <c r="L854" s="4">
        <f>AVERAGEIF($A$2:$A$841,$B854,$L$2:$L$841)</f>
        <v/>
      </c>
    </row>
    <row r="856">
      <c r="A856" s="5" t="inlineStr">
        <is>
          <t>rata-rata antar-subjek</t>
        </is>
      </c>
      <c r="B856" t="inlineStr">
        <is>
          <t>&lt;- ini yang dilaporkan di tesis</t>
        </is>
      </c>
      <c r="J856" s="6">
        <f>AVERAGE(J845:J854)</f>
        <v/>
      </c>
      <c r="L856" s="6">
        <f>AVERAGE(L845:L854)</f>
        <v/>
      </c>
    </row>
    <row r="857">
      <c r="A857" t="inlineStr">
        <is>
          <t>gabungan semua jendela</t>
        </is>
      </c>
      <c r="B857" t="inlineStr">
        <is>
          <t>(bobot per jendela, BUKAN yang dipakai)</t>
        </is>
      </c>
      <c r="C857">
        <f>COUNT($K$2:$K$841)</f>
        <v/>
      </c>
      <c r="J857" s="4">
        <f>AVERAGE($K$2:$K$841)</f>
        <v/>
      </c>
      <c r="L857" s="4">
        <f>AVERAGE($L$2:$L$841)</f>
        <v/>
      </c>
    </row>
    <row r="859">
      <c r="A859" s="5" t="inlineStr">
        <is>
          <t>lolos standar ANSI/CTA-2065 (MAPE &lt; 10%)</t>
        </is>
      </c>
      <c r="J859" s="5">
        <f>COUNTIF(L845:L854,"&lt;10")&amp;" dari 10 subjek"</f>
        <v/>
      </c>
    </row>
    <row r="861">
      <c r="A861" s="2" t="inlineStr">
        <is>
          <t>BLAND-ALTMAN (semua jendela)</t>
        </is>
      </c>
    </row>
    <row r="862">
      <c r="A862" t="inlineStr">
        <is>
          <t>bias (rata-rata galat)</t>
        </is>
      </c>
      <c r="E862" s="4">
        <f>AVERAGE($J$2:$J$841)</f>
        <v/>
      </c>
    </row>
    <row r="863">
      <c r="A863" t="inlineStr">
        <is>
          <t>simpangan baku galat</t>
        </is>
      </c>
      <c r="E863" s="4">
        <f>STDEV($J$2:$J$841)</f>
        <v/>
      </c>
    </row>
    <row r="864">
      <c r="A864" t="inlineStr">
        <is>
          <t>batas kesepakatan 95% bawah</t>
        </is>
      </c>
      <c r="E864" s="4">
        <f>E862-1.96*E863</f>
        <v/>
      </c>
    </row>
    <row r="865">
      <c r="A865" t="inlineStr">
        <is>
          <t>batas kesepakatan 95% atas</t>
        </is>
      </c>
      <c r="E865" s="4">
        <f>E862+1.96*E863</f>
        <v/>
      </c>
    </row>
    <row r="867">
      <c r="A867" s="7" t="inlineStr">
        <is>
          <t>CATATAN std_ECG_bpm - ini yang menjelaskan kenapa korelasi rendah:</t>
        </is>
      </c>
    </row>
    <row r="868">
      <c r="A868" s="8" t="inlineStr">
        <is>
          <t xml:space="preserve">  Semua subjek direkam duduk diam, jadi detak jantungnya nyaris tidak berubah</t>
        </is>
      </c>
    </row>
    <row r="869">
      <c r="A869" s="8" t="inlineStr">
        <is>
          <t xml:space="preserve">  (std hanya 0.9-4.2 bpm). Korelasi mengukur apakah NAIK-TURUNnya cocok; kalau</t>
        </is>
      </c>
    </row>
    <row r="870">
      <c r="A870" s="8" t="inlineStr">
        <is>
          <t xml:space="preserve">  tidak ada naik-turun, korelasi mendekati nol SEKALIPUN estimasinya akurat.</t>
        </is>
      </c>
    </row>
    <row r="871">
      <c r="A871" s="8" t="inlineStr">
        <is>
          <t xml:space="preserve">  Batas atas korelasi yang mungkin: r_maks = std / AKAR(std^2 + galat^2).</t>
        </is>
      </c>
    </row>
    <row r="872">
      <c r="A872" s="8" t="inlineStr">
        <is>
          <t xml:space="preserve">  Untuk subject03 (std 0.9 bpm), estimator SEMPURNA pun hanya bisa mencapai r = 0.09.</t>
        </is>
      </c>
    </row>
    <row r="873">
      <c r="A873" s="8" t="inlineStr">
        <is>
          <t xml:space="preserve">  Jadi korelasi rendah di sini adalah keterbatasan DATASET, bukan keterbatasan metode.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2026-07-14T03:13:10Z</dcterms:created>
  <dcterms:modified xmlns:dcterms="http://purl.org/dc/terms/" xmlns:xsi="http://www.w3.org/2001/XMLSchema-instance" xsi:type="dcterms:W3CDTF">2026-07-14T03:13:10Z</dcterms:modified>
</cp:coreProperties>
</file>