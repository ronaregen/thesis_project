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ndela 40 det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C2A42"/>
      </patternFill>
    </fill>
    <fill>
      <patternFill patternType="solid">
        <fgColor rgb="00E8EC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5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subjek</t>
        </is>
      </c>
      <c r="B1" s="1" t="inlineStr">
        <is>
          <t>jendela</t>
        </is>
      </c>
      <c r="C1" s="1" t="inlineStr">
        <is>
          <t>t_mulai_s</t>
        </is>
      </c>
      <c r="D1" s="1" t="inlineStr">
        <is>
          <t>t_selesai_s</t>
        </is>
      </c>
      <c r="E1" s="1" t="inlineStr">
        <is>
          <t>ecg_hz</t>
        </is>
      </c>
      <c r="F1" s="1" t="inlineStr">
        <is>
          <t>ecg_bpm</t>
        </is>
      </c>
      <c r="G1" s="1" t="inlineStr">
        <is>
          <t>radar_hz</t>
        </is>
      </c>
      <c r="H1" s="1" t="inlineStr">
        <is>
          <t>radar_bpm</t>
        </is>
      </c>
      <c r="I1" s="1" t="inlineStr">
        <is>
          <t>radar_bpm_sebelum_medfilt</t>
        </is>
      </c>
      <c r="J1" s="1" t="inlineStr">
        <is>
          <t>galat_bpm</t>
        </is>
      </c>
      <c r="K1" s="1" t="inlineStr">
        <is>
          <t>galat_mutlak_bpm</t>
        </is>
      </c>
      <c r="L1" s="1" t="inlineStr">
        <is>
          <t>galat_persen</t>
        </is>
      </c>
    </row>
    <row r="2">
      <c r="A2" t="inlineStr">
        <is>
          <t>subject01</t>
        </is>
      </c>
      <c r="B2" t="n">
        <v>1</v>
      </c>
      <c r="C2" t="n">
        <v>0</v>
      </c>
      <c r="D2" t="n">
        <v>40</v>
      </c>
      <c r="E2" t="n">
        <v>1.4386</v>
      </c>
      <c r="F2" t="n">
        <v>86.31999999999999</v>
      </c>
      <c r="G2">
        <f>H2/60</f>
        <v/>
      </c>
      <c r="H2">
        <f>MEDIAN(0,0,0,0,I2,I3,I4,I5,I6)</f>
        <v/>
      </c>
      <c r="I2" t="n">
        <v>88.5</v>
      </c>
      <c r="J2">
        <f>H2-F2</f>
        <v/>
      </c>
      <c r="K2">
        <f>ABS(J2)</f>
        <v/>
      </c>
      <c r="L2">
        <f>K2/F2*100</f>
        <v/>
      </c>
    </row>
    <row r="3">
      <c r="A3" t="inlineStr">
        <is>
          <t>subject01</t>
        </is>
      </c>
      <c r="B3" t="n">
        <v>2</v>
      </c>
      <c r="C3" t="n">
        <v>10</v>
      </c>
      <c r="D3" t="n">
        <v>50</v>
      </c>
      <c r="E3" t="n">
        <v>1.4401</v>
      </c>
      <c r="F3" t="n">
        <v>86.40000000000001</v>
      </c>
      <c r="G3">
        <f>H3/60</f>
        <v/>
      </c>
      <c r="H3">
        <f>MEDIAN(0,0,0,I2,I3,I4,I5,I6,I7)</f>
        <v/>
      </c>
      <c r="I3" t="n">
        <v>84</v>
      </c>
      <c r="J3">
        <f>H3-F3</f>
        <v/>
      </c>
      <c r="K3">
        <f>ABS(J3)</f>
        <v/>
      </c>
      <c r="L3">
        <f>K3/F3*100</f>
        <v/>
      </c>
    </row>
    <row r="4">
      <c r="A4" t="inlineStr">
        <is>
          <t>subject01</t>
        </is>
      </c>
      <c r="B4" t="n">
        <v>3</v>
      </c>
      <c r="C4" t="n">
        <v>20</v>
      </c>
      <c r="D4" t="n">
        <v>60</v>
      </c>
      <c r="E4" t="n">
        <v>1.4437</v>
      </c>
      <c r="F4" t="n">
        <v>86.62</v>
      </c>
      <c r="G4">
        <f>H4/60</f>
        <v/>
      </c>
      <c r="H4">
        <f>MEDIAN(0,0,I2,I3,I4,I5,I6,I7,I8)</f>
        <v/>
      </c>
      <c r="I4" t="n">
        <v>108</v>
      </c>
      <c r="J4">
        <f>H4-F4</f>
        <v/>
      </c>
      <c r="K4">
        <f>ABS(J4)</f>
        <v/>
      </c>
      <c r="L4">
        <f>K4/F4*100</f>
        <v/>
      </c>
    </row>
    <row r="5">
      <c r="A5" t="inlineStr">
        <is>
          <t>subject01</t>
        </is>
      </c>
      <c r="B5" t="n">
        <v>4</v>
      </c>
      <c r="C5" t="n">
        <v>30</v>
      </c>
      <c r="D5" t="n">
        <v>70</v>
      </c>
      <c r="E5" t="n">
        <v>1.4761</v>
      </c>
      <c r="F5" t="n">
        <v>88.56999999999999</v>
      </c>
      <c r="G5">
        <f>H5/60</f>
        <v/>
      </c>
      <c r="H5">
        <f>MEDIAN(0,I2,I3,I4,I5,I6,I7,I8,I9)</f>
        <v/>
      </c>
      <c r="I5" t="n">
        <v>108</v>
      </c>
      <c r="J5">
        <f>H5-F5</f>
        <v/>
      </c>
      <c r="K5">
        <f>ABS(J5)</f>
        <v/>
      </c>
      <c r="L5">
        <f>K5/F5*100</f>
        <v/>
      </c>
    </row>
    <row r="6">
      <c r="A6" t="inlineStr">
        <is>
          <t>subject01</t>
        </is>
      </c>
      <c r="B6" t="n">
        <v>5</v>
      </c>
      <c r="C6" t="n">
        <v>40</v>
      </c>
      <c r="D6" t="n">
        <v>80</v>
      </c>
      <c r="E6" t="n">
        <v>1.502</v>
      </c>
      <c r="F6" t="n">
        <v>90.12</v>
      </c>
      <c r="G6">
        <f>H6/60</f>
        <v/>
      </c>
      <c r="H6">
        <f>MEDIAN(I2,I3,I4,I5,I6,I7,I8,I9,I10)</f>
        <v/>
      </c>
      <c r="I6" t="n">
        <v>90</v>
      </c>
      <c r="J6">
        <f>H6-F6</f>
        <v/>
      </c>
      <c r="K6">
        <f>ABS(J6)</f>
        <v/>
      </c>
      <c r="L6">
        <f>K6/F6*100</f>
        <v/>
      </c>
    </row>
    <row r="7">
      <c r="A7" t="inlineStr">
        <is>
          <t>subject01</t>
        </is>
      </c>
      <c r="B7" t="n">
        <v>6</v>
      </c>
      <c r="C7" t="n">
        <v>50</v>
      </c>
      <c r="D7" t="n">
        <v>90</v>
      </c>
      <c r="E7" t="n">
        <v>1.5054</v>
      </c>
      <c r="F7" t="n">
        <v>90.31999999999999</v>
      </c>
      <c r="G7">
        <f>H7/60</f>
        <v/>
      </c>
      <c r="H7">
        <f>MEDIAN(I3,I4,I5,I6,I7,I8,I9,I10,I11)</f>
        <v/>
      </c>
      <c r="I7" t="n">
        <v>90</v>
      </c>
      <c r="J7">
        <f>H7-F7</f>
        <v/>
      </c>
      <c r="K7">
        <f>ABS(J7)</f>
        <v/>
      </c>
      <c r="L7">
        <f>K7/F7*100</f>
        <v/>
      </c>
    </row>
    <row r="8">
      <c r="A8" t="inlineStr">
        <is>
          <t>subject01</t>
        </is>
      </c>
      <c r="B8" t="n">
        <v>7</v>
      </c>
      <c r="C8" t="n">
        <v>60</v>
      </c>
      <c r="D8" t="n">
        <v>100</v>
      </c>
      <c r="E8" t="n">
        <v>1.4972</v>
      </c>
      <c r="F8" t="n">
        <v>89.83</v>
      </c>
      <c r="G8">
        <f>H8/60</f>
        <v/>
      </c>
      <c r="H8">
        <f>MEDIAN(I4,I5,I6,I7,I8,I9,I10,I11,I12)</f>
        <v/>
      </c>
      <c r="I8" t="n">
        <v>90</v>
      </c>
      <c r="J8">
        <f>H8-F8</f>
        <v/>
      </c>
      <c r="K8">
        <f>ABS(J8)</f>
        <v/>
      </c>
      <c r="L8">
        <f>K8/F8*100</f>
        <v/>
      </c>
    </row>
    <row r="9">
      <c r="A9" t="inlineStr">
        <is>
          <t>subject01</t>
        </is>
      </c>
      <c r="B9" t="n">
        <v>8</v>
      </c>
      <c r="C9" t="n">
        <v>70</v>
      </c>
      <c r="D9" t="n">
        <v>110</v>
      </c>
      <c r="E9" t="n">
        <v>1.5004</v>
      </c>
      <c r="F9" t="n">
        <v>90.02</v>
      </c>
      <c r="G9">
        <f>H9/60</f>
        <v/>
      </c>
      <c r="H9">
        <f>MEDIAN(I5,I6,I7,I8,I9,I10,I11,I12,I13)</f>
        <v/>
      </c>
      <c r="I9" t="n">
        <v>85.5</v>
      </c>
      <c r="J9">
        <f>H9-F9</f>
        <v/>
      </c>
      <c r="K9">
        <f>ABS(J9)</f>
        <v/>
      </c>
      <c r="L9">
        <f>K9/F9*100</f>
        <v/>
      </c>
    </row>
    <row r="10">
      <c r="A10" t="inlineStr">
        <is>
          <t>subject01</t>
        </is>
      </c>
      <c r="B10" t="n">
        <v>9</v>
      </c>
      <c r="C10" t="n">
        <v>80</v>
      </c>
      <c r="D10" t="n">
        <v>120</v>
      </c>
      <c r="E10" t="n">
        <v>1.4987</v>
      </c>
      <c r="F10" t="n">
        <v>89.92</v>
      </c>
      <c r="G10">
        <f>H10/60</f>
        <v/>
      </c>
      <c r="H10">
        <f>MEDIAN(I6,I7,I8,I9,I10,I11,I12,I13,I14)</f>
        <v/>
      </c>
      <c r="I10" t="n">
        <v>87</v>
      </c>
      <c r="J10">
        <f>H10-F10</f>
        <v/>
      </c>
      <c r="K10">
        <f>ABS(J10)</f>
        <v/>
      </c>
      <c r="L10">
        <f>K10/F10*100</f>
        <v/>
      </c>
    </row>
    <row r="11">
      <c r="A11" t="inlineStr">
        <is>
          <t>subject01</t>
        </is>
      </c>
      <c r="B11" t="n">
        <v>10</v>
      </c>
      <c r="C11" t="n">
        <v>90</v>
      </c>
      <c r="D11" t="n">
        <v>130</v>
      </c>
      <c r="E11" t="n">
        <v>1.4941</v>
      </c>
      <c r="F11" t="n">
        <v>89.65000000000001</v>
      </c>
      <c r="G11">
        <f>H11/60</f>
        <v/>
      </c>
      <c r="H11">
        <f>MEDIAN(I7,I8,I9,I10,I11,I12,I13,I14,I15)</f>
        <v/>
      </c>
      <c r="I11" t="n">
        <v>91.5</v>
      </c>
      <c r="J11">
        <f>H11-F11</f>
        <v/>
      </c>
      <c r="K11">
        <f>ABS(J11)</f>
        <v/>
      </c>
      <c r="L11">
        <f>K11/F11*100</f>
        <v/>
      </c>
    </row>
    <row r="12">
      <c r="A12" t="inlineStr">
        <is>
          <t>subject01</t>
        </is>
      </c>
      <c r="B12" t="n">
        <v>11</v>
      </c>
      <c r="C12" t="n">
        <v>100</v>
      </c>
      <c r="D12" t="n">
        <v>140</v>
      </c>
      <c r="E12" t="n">
        <v>1.5173</v>
      </c>
      <c r="F12" t="n">
        <v>91.04000000000001</v>
      </c>
      <c r="G12">
        <f>H12/60</f>
        <v/>
      </c>
      <c r="H12">
        <f>MEDIAN(I8,I9,I10,I11,I12,I13,I14,I15,I16)</f>
        <v/>
      </c>
      <c r="I12" t="n">
        <v>90</v>
      </c>
      <c r="J12">
        <f>H12-F12</f>
        <v/>
      </c>
      <c r="K12">
        <f>ABS(J12)</f>
        <v/>
      </c>
      <c r="L12">
        <f>K12/F12*100</f>
        <v/>
      </c>
    </row>
    <row r="13">
      <c r="A13" t="inlineStr">
        <is>
          <t>subject01</t>
        </is>
      </c>
      <c r="B13" t="n">
        <v>12</v>
      </c>
      <c r="C13" t="n">
        <v>110</v>
      </c>
      <c r="D13" t="n">
        <v>150</v>
      </c>
      <c r="E13" t="n">
        <v>1.5224</v>
      </c>
      <c r="F13" t="n">
        <v>91.34</v>
      </c>
      <c r="G13">
        <f>H13/60</f>
        <v/>
      </c>
      <c r="H13">
        <f>MEDIAN(I9,I10,I11,I12,I13,I14,I15,I16,I17)</f>
        <v/>
      </c>
      <c r="I13" t="n">
        <v>91.5</v>
      </c>
      <c r="J13">
        <f>H13-F13</f>
        <v/>
      </c>
      <c r="K13">
        <f>ABS(J13)</f>
        <v/>
      </c>
      <c r="L13">
        <f>K13/F13*100</f>
        <v/>
      </c>
    </row>
    <row r="14">
      <c r="A14" t="inlineStr">
        <is>
          <t>subject01</t>
        </is>
      </c>
      <c r="B14" t="n">
        <v>13</v>
      </c>
      <c r="C14" t="n">
        <v>120</v>
      </c>
      <c r="D14" t="n">
        <v>160</v>
      </c>
      <c r="E14" t="n">
        <v>1.5277</v>
      </c>
      <c r="F14" t="n">
        <v>91.66</v>
      </c>
      <c r="G14">
        <f>H14/60</f>
        <v/>
      </c>
      <c r="H14">
        <f>MEDIAN(I10,I11,I12,I13,I14,I15,I16,I17,I18)</f>
        <v/>
      </c>
      <c r="I14" t="n">
        <v>91.5</v>
      </c>
      <c r="J14">
        <f>H14-F14</f>
        <v/>
      </c>
      <c r="K14">
        <f>ABS(J14)</f>
        <v/>
      </c>
      <c r="L14">
        <f>K14/F14*100</f>
        <v/>
      </c>
    </row>
    <row r="15">
      <c r="A15" t="inlineStr">
        <is>
          <t>subject01</t>
        </is>
      </c>
      <c r="B15" t="n">
        <v>14</v>
      </c>
      <c r="C15" t="n">
        <v>130</v>
      </c>
      <c r="D15" t="n">
        <v>170</v>
      </c>
      <c r="E15" t="n">
        <v>1.5329</v>
      </c>
      <c r="F15" t="n">
        <v>91.98</v>
      </c>
      <c r="G15">
        <f>H15/60</f>
        <v/>
      </c>
      <c r="H15">
        <f>MEDIAN(I11,I12,I13,I14,I15,I16,I17,I18,I19)</f>
        <v/>
      </c>
      <c r="I15" t="n">
        <v>91.5</v>
      </c>
      <c r="J15">
        <f>H15-F15</f>
        <v/>
      </c>
      <c r="K15">
        <f>ABS(J15)</f>
        <v/>
      </c>
      <c r="L15">
        <f>K15/F15*100</f>
        <v/>
      </c>
    </row>
    <row r="16">
      <c r="A16" t="inlineStr">
        <is>
          <t>subject01</t>
        </is>
      </c>
      <c r="B16" t="n">
        <v>15</v>
      </c>
      <c r="C16" t="n">
        <v>140</v>
      </c>
      <c r="D16" t="n">
        <v>180</v>
      </c>
      <c r="E16" t="n">
        <v>1.5301</v>
      </c>
      <c r="F16" t="n">
        <v>91.81</v>
      </c>
      <c r="G16">
        <f>H16/60</f>
        <v/>
      </c>
      <c r="H16">
        <f>MEDIAN(I12,I13,I14,I15,I16,I17,I18,I19,I20)</f>
        <v/>
      </c>
      <c r="I16" t="n">
        <v>91.5</v>
      </c>
      <c r="J16">
        <f>H16-F16</f>
        <v/>
      </c>
      <c r="K16">
        <f>ABS(J16)</f>
        <v/>
      </c>
      <c r="L16">
        <f>K16/F16*100</f>
        <v/>
      </c>
    </row>
    <row r="17">
      <c r="A17" t="inlineStr">
        <is>
          <t>subject01</t>
        </is>
      </c>
      <c r="B17" t="n">
        <v>16</v>
      </c>
      <c r="C17" t="n">
        <v>150</v>
      </c>
      <c r="D17" t="n">
        <v>190</v>
      </c>
      <c r="E17" t="n">
        <v>1.5093</v>
      </c>
      <c r="F17" t="n">
        <v>90.56</v>
      </c>
      <c r="G17">
        <f>H17/60</f>
        <v/>
      </c>
      <c r="H17">
        <f>MEDIAN(I13,I14,I15,I16,I17,I18,I19,I20,I21)</f>
        <v/>
      </c>
      <c r="I17" t="n">
        <v>91.5</v>
      </c>
      <c r="J17">
        <f>H17-F17</f>
        <v/>
      </c>
      <c r="K17">
        <f>ABS(J17)</f>
        <v/>
      </c>
      <c r="L17">
        <f>K17/F17*100</f>
        <v/>
      </c>
    </row>
    <row r="18">
      <c r="A18" t="inlineStr">
        <is>
          <t>subject01</t>
        </is>
      </c>
      <c r="B18" t="n">
        <v>17</v>
      </c>
      <c r="C18" t="n">
        <v>160</v>
      </c>
      <c r="D18" t="n">
        <v>200</v>
      </c>
      <c r="E18" t="n">
        <v>1.4898</v>
      </c>
      <c r="F18" t="n">
        <v>89.39</v>
      </c>
      <c r="G18">
        <f>H18/60</f>
        <v/>
      </c>
      <c r="H18">
        <f>MEDIAN(I14,I15,I16,I17,I18,I19,I20,I21,I22)</f>
        <v/>
      </c>
      <c r="I18" t="n">
        <v>91.5</v>
      </c>
      <c r="J18">
        <f>H18-F18</f>
        <v/>
      </c>
      <c r="K18">
        <f>ABS(J18)</f>
        <v/>
      </c>
      <c r="L18">
        <f>K18/F18*100</f>
        <v/>
      </c>
    </row>
    <row r="19">
      <c r="A19" t="inlineStr">
        <is>
          <t>subject01</t>
        </is>
      </c>
      <c r="B19" t="n">
        <v>18</v>
      </c>
      <c r="C19" t="n">
        <v>170</v>
      </c>
      <c r="D19" t="n">
        <v>210</v>
      </c>
      <c r="E19" t="n">
        <v>1.4823</v>
      </c>
      <c r="F19" t="n">
        <v>88.94</v>
      </c>
      <c r="G19">
        <f>H19/60</f>
        <v/>
      </c>
      <c r="H19">
        <f>MEDIAN(I15,I16,I17,I18,I19,I20,I21,I22,I23)</f>
        <v/>
      </c>
      <c r="I19" t="n">
        <v>87</v>
      </c>
      <c r="J19">
        <f>H19-F19</f>
        <v/>
      </c>
      <c r="K19">
        <f>ABS(J19)</f>
        <v/>
      </c>
      <c r="L19">
        <f>K19/F19*100</f>
        <v/>
      </c>
    </row>
    <row r="20">
      <c r="A20" t="inlineStr">
        <is>
          <t>subject01</t>
        </is>
      </c>
      <c r="B20" t="n">
        <v>19</v>
      </c>
      <c r="C20" t="n">
        <v>180</v>
      </c>
      <c r="D20" t="n">
        <v>220</v>
      </c>
      <c r="E20" t="n">
        <v>1.4727</v>
      </c>
      <c r="F20" t="n">
        <v>88.36</v>
      </c>
      <c r="G20">
        <f>H20/60</f>
        <v/>
      </c>
      <c r="H20">
        <f>MEDIAN(I16,I17,I18,I19,I20,I21,I22,I23,I24)</f>
        <v/>
      </c>
      <c r="I20" t="n">
        <v>88.5</v>
      </c>
      <c r="J20">
        <f>H20-F20</f>
        <v/>
      </c>
      <c r="K20">
        <f>ABS(J20)</f>
        <v/>
      </c>
      <c r="L20">
        <f>K20/F20*100</f>
        <v/>
      </c>
    </row>
    <row r="21">
      <c r="A21" t="inlineStr">
        <is>
          <t>subject01</t>
        </is>
      </c>
      <c r="B21" t="n">
        <v>20</v>
      </c>
      <c r="C21" t="n">
        <v>190</v>
      </c>
      <c r="D21" t="n">
        <v>230</v>
      </c>
      <c r="E21" t="n">
        <v>1.4845</v>
      </c>
      <c r="F21" t="n">
        <v>89.06999999999999</v>
      </c>
      <c r="G21">
        <f>H21/60</f>
        <v/>
      </c>
      <c r="H21">
        <f>MEDIAN(I17,I18,I19,I20,I21,I22,I23,I24,I25)</f>
        <v/>
      </c>
      <c r="I21" t="n">
        <v>88.5</v>
      </c>
      <c r="J21">
        <f>H21-F21</f>
        <v/>
      </c>
      <c r="K21">
        <f>ABS(J21)</f>
        <v/>
      </c>
      <c r="L21">
        <f>K21/F21*100</f>
        <v/>
      </c>
    </row>
    <row r="22">
      <c r="A22" t="inlineStr">
        <is>
          <t>subject01</t>
        </is>
      </c>
      <c r="B22" t="n">
        <v>21</v>
      </c>
      <c r="C22" t="n">
        <v>200</v>
      </c>
      <c r="D22" t="n">
        <v>240</v>
      </c>
      <c r="E22" t="n">
        <v>1.4937</v>
      </c>
      <c r="F22" t="n">
        <v>89.62</v>
      </c>
      <c r="G22">
        <f>H22/60</f>
        <v/>
      </c>
      <c r="H22">
        <f>MEDIAN(I18,I19,I20,I21,I22,I23,I24,I25,I26)</f>
        <v/>
      </c>
      <c r="I22" t="n">
        <v>88.5</v>
      </c>
      <c r="J22">
        <f>H22-F22</f>
        <v/>
      </c>
      <c r="K22">
        <f>ABS(J22)</f>
        <v/>
      </c>
      <c r="L22">
        <f>K22/F22*100</f>
        <v/>
      </c>
    </row>
    <row r="23">
      <c r="A23" t="inlineStr">
        <is>
          <t>subject01</t>
        </is>
      </c>
      <c r="B23" t="n">
        <v>22</v>
      </c>
      <c r="C23" t="n">
        <v>210</v>
      </c>
      <c r="D23" t="n">
        <v>250</v>
      </c>
      <c r="E23" t="n">
        <v>1.505</v>
      </c>
      <c r="F23" t="n">
        <v>90.3</v>
      </c>
      <c r="G23">
        <f>H23/60</f>
        <v/>
      </c>
      <c r="H23">
        <f>MEDIAN(I19,I20,I21,I22,I23,I24,I25,I26,I27)</f>
        <v/>
      </c>
      <c r="I23" t="n">
        <v>90</v>
      </c>
      <c r="J23">
        <f>H23-F23</f>
        <v/>
      </c>
      <c r="K23">
        <f>ABS(J23)</f>
        <v/>
      </c>
      <c r="L23">
        <f>K23/F23*100</f>
        <v/>
      </c>
    </row>
    <row r="24">
      <c r="A24" t="inlineStr">
        <is>
          <t>subject01</t>
        </is>
      </c>
      <c r="B24" t="n">
        <v>23</v>
      </c>
      <c r="C24" t="n">
        <v>220</v>
      </c>
      <c r="D24" t="n">
        <v>260</v>
      </c>
      <c r="E24" t="n">
        <v>1.5219</v>
      </c>
      <c r="F24" t="n">
        <v>91.31</v>
      </c>
      <c r="G24">
        <f>H24/60</f>
        <v/>
      </c>
      <c r="H24">
        <f>MEDIAN(I20,I21,I22,I23,I24,I25,I26,I27,I28)</f>
        <v/>
      </c>
      <c r="I24" t="n">
        <v>90</v>
      </c>
      <c r="J24">
        <f>H24-F24</f>
        <v/>
      </c>
      <c r="K24">
        <f>ABS(J24)</f>
        <v/>
      </c>
      <c r="L24">
        <f>K24/F24*100</f>
        <v/>
      </c>
    </row>
    <row r="25">
      <c r="A25" t="inlineStr">
        <is>
          <t>subject01</t>
        </is>
      </c>
      <c r="B25" t="n">
        <v>24</v>
      </c>
      <c r="C25" t="n">
        <v>230</v>
      </c>
      <c r="D25" t="n">
        <v>270</v>
      </c>
      <c r="E25" t="n">
        <v>1.5363</v>
      </c>
      <c r="F25" t="n">
        <v>92.18000000000001</v>
      </c>
      <c r="G25">
        <f>H25/60</f>
        <v/>
      </c>
      <c r="H25">
        <f>MEDIAN(I21,I22,I23,I24,I25,I26,I27,I28,I29)</f>
        <v/>
      </c>
      <c r="I25" t="n">
        <v>94.5</v>
      </c>
      <c r="J25">
        <f>H25-F25</f>
        <v/>
      </c>
      <c r="K25">
        <f>ABS(J25)</f>
        <v/>
      </c>
      <c r="L25">
        <f>K25/F25*100</f>
        <v/>
      </c>
    </row>
    <row r="26">
      <c r="A26" t="inlineStr">
        <is>
          <t>subject01</t>
        </is>
      </c>
      <c r="B26" t="n">
        <v>25</v>
      </c>
      <c r="C26" t="n">
        <v>240</v>
      </c>
      <c r="D26" t="n">
        <v>280</v>
      </c>
      <c r="E26" t="n">
        <v>1.5595</v>
      </c>
      <c r="F26" t="n">
        <v>93.56999999999999</v>
      </c>
      <c r="G26">
        <f>H26/60</f>
        <v/>
      </c>
      <c r="H26">
        <f>MEDIAN(I22,I23,I24,I25,I26,I27,I28,I29,I30)</f>
        <v/>
      </c>
      <c r="I26" t="n">
        <v>94.5</v>
      </c>
      <c r="J26">
        <f>H26-F26</f>
        <v/>
      </c>
      <c r="K26">
        <f>ABS(J26)</f>
        <v/>
      </c>
      <c r="L26">
        <f>K26/F26*100</f>
        <v/>
      </c>
    </row>
    <row r="27">
      <c r="A27" t="inlineStr">
        <is>
          <t>subject01</t>
        </is>
      </c>
      <c r="B27" t="n">
        <v>26</v>
      </c>
      <c r="C27" t="n">
        <v>250</v>
      </c>
      <c r="D27" t="n">
        <v>290</v>
      </c>
      <c r="E27" t="n">
        <v>1.5713</v>
      </c>
      <c r="F27" t="n">
        <v>94.28</v>
      </c>
      <c r="G27">
        <f>H27/60</f>
        <v/>
      </c>
      <c r="H27">
        <f>MEDIAN(I23,I24,I25,I26,I27,I28,I29,I30,I31)</f>
        <v/>
      </c>
      <c r="I27" t="n">
        <v>94.5</v>
      </c>
      <c r="J27">
        <f>H27-F27</f>
        <v/>
      </c>
      <c r="K27">
        <f>ABS(J27)</f>
        <v/>
      </c>
      <c r="L27">
        <f>K27/F27*100</f>
        <v/>
      </c>
    </row>
    <row r="28">
      <c r="A28" t="inlineStr">
        <is>
          <t>subject01</t>
        </is>
      </c>
      <c r="B28" t="n">
        <v>27</v>
      </c>
      <c r="C28" t="n">
        <v>260</v>
      </c>
      <c r="D28" t="n">
        <v>300</v>
      </c>
      <c r="E28" t="n">
        <v>1.5679</v>
      </c>
      <c r="F28" t="n">
        <v>94.08</v>
      </c>
      <c r="G28">
        <f>H28/60</f>
        <v/>
      </c>
      <c r="H28">
        <f>MEDIAN(I24,I25,I26,I27,I28,I29,I30,I31,I32)</f>
        <v/>
      </c>
      <c r="I28" t="n">
        <v>94.5</v>
      </c>
      <c r="J28">
        <f>H28-F28</f>
        <v/>
      </c>
      <c r="K28">
        <f>ABS(J28)</f>
        <v/>
      </c>
      <c r="L28">
        <f>K28/F28*100</f>
        <v/>
      </c>
    </row>
    <row r="29">
      <c r="A29" t="inlineStr">
        <is>
          <t>subject01</t>
        </is>
      </c>
      <c r="B29" t="n">
        <v>28</v>
      </c>
      <c r="C29" t="n">
        <v>270</v>
      </c>
      <c r="D29" t="n">
        <v>310</v>
      </c>
      <c r="E29" t="n">
        <v>1.5585</v>
      </c>
      <c r="F29" t="n">
        <v>93.51000000000001</v>
      </c>
      <c r="G29">
        <f>H29/60</f>
        <v/>
      </c>
      <c r="H29">
        <f>MEDIAN(I25,I26,I27,I28,I29,I30,I31,I32,I33)</f>
        <v/>
      </c>
      <c r="I29" t="n">
        <v>94.5</v>
      </c>
      <c r="J29">
        <f>H29-F29</f>
        <v/>
      </c>
      <c r="K29">
        <f>ABS(J29)</f>
        <v/>
      </c>
      <c r="L29">
        <f>K29/F29*100</f>
        <v/>
      </c>
    </row>
    <row r="30">
      <c r="A30" t="inlineStr">
        <is>
          <t>subject01</t>
        </is>
      </c>
      <c r="B30" t="n">
        <v>29</v>
      </c>
      <c r="C30" t="n">
        <v>280</v>
      </c>
      <c r="D30" t="n">
        <v>320</v>
      </c>
      <c r="E30" t="n">
        <v>1.5247</v>
      </c>
      <c r="F30" t="n">
        <v>91.48</v>
      </c>
      <c r="G30">
        <f>H30/60</f>
        <v/>
      </c>
      <c r="H30">
        <f>MEDIAN(I26,I27,I28,I29,I30,I31,I32,I33,I34)</f>
        <v/>
      </c>
      <c r="I30" t="n">
        <v>91.5</v>
      </c>
      <c r="J30">
        <f>H30-F30</f>
        <v/>
      </c>
      <c r="K30">
        <f>ABS(J30)</f>
        <v/>
      </c>
      <c r="L30">
        <f>K30/F30*100</f>
        <v/>
      </c>
    </row>
    <row r="31">
      <c r="A31" t="inlineStr">
        <is>
          <t>subject01</t>
        </is>
      </c>
      <c r="B31" t="n">
        <v>30</v>
      </c>
      <c r="C31" t="n">
        <v>290</v>
      </c>
      <c r="D31" t="n">
        <v>330</v>
      </c>
      <c r="E31" t="n">
        <v>1.5035</v>
      </c>
      <c r="F31" t="n">
        <v>90.20999999999999</v>
      </c>
      <c r="G31">
        <f>H31/60</f>
        <v/>
      </c>
      <c r="H31">
        <f>MEDIAN(I27,I28,I29,I30,I31,I32,I33,I34,I35)</f>
        <v/>
      </c>
      <c r="I31" t="n">
        <v>88.5</v>
      </c>
      <c r="J31">
        <f>H31-F31</f>
        <v/>
      </c>
      <c r="K31">
        <f>ABS(J31)</f>
        <v/>
      </c>
      <c r="L31">
        <f>K31/F31*100</f>
        <v/>
      </c>
    </row>
    <row r="32">
      <c r="A32" t="inlineStr">
        <is>
          <t>subject01</t>
        </is>
      </c>
      <c r="B32" t="n">
        <v>31</v>
      </c>
      <c r="C32" t="n">
        <v>300</v>
      </c>
      <c r="D32" t="n">
        <v>340</v>
      </c>
      <c r="E32" t="n">
        <v>1.4839</v>
      </c>
      <c r="F32" t="n">
        <v>89.03</v>
      </c>
      <c r="G32">
        <f>H32/60</f>
        <v/>
      </c>
      <c r="H32">
        <f>MEDIAN(I28,I29,I30,I31,I32,I33,I34,I35,I36)</f>
        <v/>
      </c>
      <c r="I32" t="n">
        <v>87</v>
      </c>
      <c r="J32">
        <f>H32-F32</f>
        <v/>
      </c>
      <c r="K32">
        <f>ABS(J32)</f>
        <v/>
      </c>
      <c r="L32">
        <f>K32/F32*100</f>
        <v/>
      </c>
    </row>
    <row r="33">
      <c r="A33" t="inlineStr">
        <is>
          <t>subject01</t>
        </is>
      </c>
      <c r="B33" t="n">
        <v>32</v>
      </c>
      <c r="C33" t="n">
        <v>310</v>
      </c>
      <c r="D33" t="n">
        <v>350</v>
      </c>
      <c r="E33" t="n">
        <v>1.4622</v>
      </c>
      <c r="F33" t="n">
        <v>87.73</v>
      </c>
      <c r="G33">
        <f>H33/60</f>
        <v/>
      </c>
      <c r="H33">
        <f>MEDIAN(I29,I30,I31,I32,I33,I34,I35,I36,I37)</f>
        <v/>
      </c>
      <c r="I33" t="n">
        <v>88.5</v>
      </c>
      <c r="J33">
        <f>H33-F33</f>
        <v/>
      </c>
      <c r="K33">
        <f>ABS(J33)</f>
        <v/>
      </c>
      <c r="L33">
        <f>K33/F33*100</f>
        <v/>
      </c>
    </row>
    <row r="34">
      <c r="A34" t="inlineStr">
        <is>
          <t>subject01</t>
        </is>
      </c>
      <c r="B34" t="n">
        <v>33</v>
      </c>
      <c r="C34" t="n">
        <v>320</v>
      </c>
      <c r="D34" t="n">
        <v>360</v>
      </c>
      <c r="E34" t="n">
        <v>1.4526</v>
      </c>
      <c r="F34" t="n">
        <v>87.15000000000001</v>
      </c>
      <c r="G34">
        <f>H34/60</f>
        <v/>
      </c>
      <c r="H34">
        <f>MEDIAN(I30,I31,I32,I33,I34,I35,I36,I37,I38)</f>
        <v/>
      </c>
      <c r="I34" t="n">
        <v>67.5</v>
      </c>
      <c r="J34">
        <f>H34-F34</f>
        <v/>
      </c>
      <c r="K34">
        <f>ABS(J34)</f>
        <v/>
      </c>
      <c r="L34">
        <f>K34/F34*100</f>
        <v/>
      </c>
    </row>
    <row r="35">
      <c r="A35" t="inlineStr">
        <is>
          <t>subject01</t>
        </is>
      </c>
      <c r="B35" t="n">
        <v>34</v>
      </c>
      <c r="C35" t="n">
        <v>330</v>
      </c>
      <c r="D35" t="n">
        <v>370</v>
      </c>
      <c r="E35" t="n">
        <v>1.4213</v>
      </c>
      <c r="F35" t="n">
        <v>85.28</v>
      </c>
      <c r="G35">
        <f>H35/60</f>
        <v/>
      </c>
      <c r="H35">
        <f>MEDIAN(I31,I32,I33,I34,I35,I36,I37,I38,I39)</f>
        <v/>
      </c>
      <c r="I35" t="n">
        <v>85.5</v>
      </c>
      <c r="J35">
        <f>H35-F35</f>
        <v/>
      </c>
      <c r="K35">
        <f>ABS(J35)</f>
        <v/>
      </c>
      <c r="L35">
        <f>K35/F35*100</f>
        <v/>
      </c>
    </row>
    <row r="36">
      <c r="A36" t="inlineStr">
        <is>
          <t>subject01</t>
        </is>
      </c>
      <c r="B36" t="n">
        <v>35</v>
      </c>
      <c r="C36" t="n">
        <v>340</v>
      </c>
      <c r="D36" t="n">
        <v>380</v>
      </c>
      <c r="E36" t="n">
        <v>1.4077</v>
      </c>
      <c r="F36" t="n">
        <v>84.45999999999999</v>
      </c>
      <c r="G36">
        <f>H36/60</f>
        <v/>
      </c>
      <c r="H36">
        <f>MEDIAN(I32,I33,I34,I35,I36,I37,I38,I39,I40)</f>
        <v/>
      </c>
      <c r="I36" t="n">
        <v>87</v>
      </c>
      <c r="J36">
        <f>H36-F36</f>
        <v/>
      </c>
      <c r="K36">
        <f>ABS(J36)</f>
        <v/>
      </c>
      <c r="L36">
        <f>K36/F36*100</f>
        <v/>
      </c>
    </row>
    <row r="37">
      <c r="A37" t="inlineStr">
        <is>
          <t>subject01</t>
        </is>
      </c>
      <c r="B37" t="n">
        <v>36</v>
      </c>
      <c r="C37" t="n">
        <v>350</v>
      </c>
      <c r="D37" t="n">
        <v>390</v>
      </c>
      <c r="E37" t="n">
        <v>1.3958</v>
      </c>
      <c r="F37" t="n">
        <v>83.75</v>
      </c>
      <c r="G37">
        <f>H37/60</f>
        <v/>
      </c>
      <c r="H37">
        <f>MEDIAN(I33,I34,I35,I36,I37,I38,I39,I40,0)</f>
        <v/>
      </c>
      <c r="I37" t="n">
        <v>84</v>
      </c>
      <c r="J37">
        <f>H37-F37</f>
        <v/>
      </c>
      <c r="K37">
        <f>ABS(J37)</f>
        <v/>
      </c>
      <c r="L37">
        <f>K37/F37*100</f>
        <v/>
      </c>
    </row>
    <row r="38">
      <c r="A38" t="inlineStr">
        <is>
          <t>subject01</t>
        </is>
      </c>
      <c r="B38" t="n">
        <v>37</v>
      </c>
      <c r="C38" t="n">
        <v>360</v>
      </c>
      <c r="D38" t="n">
        <v>400</v>
      </c>
      <c r="E38" t="n">
        <v>1.4059</v>
      </c>
      <c r="F38" t="n">
        <v>84.36</v>
      </c>
      <c r="G38">
        <f>H38/60</f>
        <v/>
      </c>
      <c r="H38">
        <f>MEDIAN(I34,I35,I36,I37,I38,I39,I40,0,0)</f>
        <v/>
      </c>
      <c r="I38" t="n">
        <v>84</v>
      </c>
      <c r="J38">
        <f>H38-F38</f>
        <v/>
      </c>
      <c r="K38">
        <f>ABS(J38)</f>
        <v/>
      </c>
      <c r="L38">
        <f>K38/F38*100</f>
        <v/>
      </c>
    </row>
    <row r="39">
      <c r="A39" t="inlineStr">
        <is>
          <t>subject01</t>
        </is>
      </c>
      <c r="B39" t="n">
        <v>38</v>
      </c>
      <c r="C39" t="n">
        <v>370</v>
      </c>
      <c r="D39" t="n">
        <v>410</v>
      </c>
      <c r="E39" t="n">
        <v>1.4343</v>
      </c>
      <c r="F39" t="n">
        <v>86.06</v>
      </c>
      <c r="G39">
        <f>H39/60</f>
        <v/>
      </c>
      <c r="H39">
        <f>MEDIAN(I35,I36,I37,I38,I39,I40,0,0,0)</f>
        <v/>
      </c>
      <c r="I39" t="n">
        <v>84</v>
      </c>
      <c r="J39">
        <f>H39-F39</f>
        <v/>
      </c>
      <c r="K39">
        <f>ABS(J39)</f>
        <v/>
      </c>
      <c r="L39">
        <f>K39/F39*100</f>
        <v/>
      </c>
    </row>
    <row r="40">
      <c r="A40" t="inlineStr">
        <is>
          <t>subject01</t>
        </is>
      </c>
      <c r="B40" t="n">
        <v>39</v>
      </c>
      <c r="C40" t="n">
        <v>380</v>
      </c>
      <c r="D40" t="n">
        <v>420</v>
      </c>
      <c r="E40" t="n">
        <v>1.4522</v>
      </c>
      <c r="F40" t="n">
        <v>87.13</v>
      </c>
      <c r="G40">
        <f>H40/60</f>
        <v/>
      </c>
      <c r="H40">
        <f>MEDIAN(I36,I37,I38,I39,I40,0,0,0,0)</f>
        <v/>
      </c>
      <c r="I40" t="n">
        <v>61.5</v>
      </c>
      <c r="J40">
        <f>H40-F40</f>
        <v/>
      </c>
      <c r="K40">
        <f>ABS(J40)</f>
        <v/>
      </c>
      <c r="L40">
        <f>K40/F40*100</f>
        <v/>
      </c>
    </row>
    <row r="41">
      <c r="A41" t="inlineStr">
        <is>
          <t>subject02</t>
        </is>
      </c>
      <c r="B41" t="n">
        <v>1</v>
      </c>
      <c r="C41" t="n">
        <v>0</v>
      </c>
      <c r="D41" t="n">
        <v>40</v>
      </c>
      <c r="E41" t="n">
        <v>1.2774</v>
      </c>
      <c r="F41" t="n">
        <v>76.64</v>
      </c>
      <c r="G41">
        <f>H41/60</f>
        <v/>
      </c>
      <c r="H41">
        <f>MEDIAN(0,0,0,0,I41,I42,I43,I44,I45)</f>
        <v/>
      </c>
      <c r="I41" t="n">
        <v>88.5</v>
      </c>
      <c r="J41">
        <f>H41-F41</f>
        <v/>
      </c>
      <c r="K41">
        <f>ABS(J41)</f>
        <v/>
      </c>
      <c r="L41">
        <f>K41/F41*100</f>
        <v/>
      </c>
    </row>
    <row r="42">
      <c r="A42" t="inlineStr">
        <is>
          <t>subject02</t>
        </is>
      </c>
      <c r="B42" t="n">
        <v>2</v>
      </c>
      <c r="C42" t="n">
        <v>10</v>
      </c>
      <c r="D42" t="n">
        <v>50</v>
      </c>
      <c r="E42" t="n">
        <v>1.2114</v>
      </c>
      <c r="F42" t="n">
        <v>72.68000000000001</v>
      </c>
      <c r="G42">
        <f>H42/60</f>
        <v/>
      </c>
      <c r="H42">
        <f>MEDIAN(0,0,0,I41,I42,I43,I44,I45,I46)</f>
        <v/>
      </c>
      <c r="I42" t="n">
        <v>72</v>
      </c>
      <c r="J42">
        <f>H42-F42</f>
        <v/>
      </c>
      <c r="K42">
        <f>ABS(J42)</f>
        <v/>
      </c>
      <c r="L42">
        <f>K42/F42*100</f>
        <v/>
      </c>
    </row>
    <row r="43">
      <c r="A43" t="inlineStr">
        <is>
          <t>subject02</t>
        </is>
      </c>
      <c r="B43" t="n">
        <v>3</v>
      </c>
      <c r="C43" t="n">
        <v>20</v>
      </c>
      <c r="D43" t="n">
        <v>60</v>
      </c>
      <c r="E43" t="n">
        <v>1.1905</v>
      </c>
      <c r="F43" t="n">
        <v>71.43000000000001</v>
      </c>
      <c r="G43">
        <f>H43/60</f>
        <v/>
      </c>
      <c r="H43">
        <f>MEDIAN(0,0,I41,I42,I43,I44,I45,I46,I47)</f>
        <v/>
      </c>
      <c r="I43" t="n">
        <v>70.5</v>
      </c>
      <c r="J43">
        <f>H43-F43</f>
        <v/>
      </c>
      <c r="K43">
        <f>ABS(J43)</f>
        <v/>
      </c>
      <c r="L43">
        <f>K43/F43*100</f>
        <v/>
      </c>
    </row>
    <row r="44">
      <c r="A44" t="inlineStr">
        <is>
          <t>subject02</t>
        </is>
      </c>
      <c r="B44" t="n">
        <v>4</v>
      </c>
      <c r="C44" t="n">
        <v>30</v>
      </c>
      <c r="D44" t="n">
        <v>70</v>
      </c>
      <c r="E44" t="n">
        <v>1.1837</v>
      </c>
      <c r="F44" t="n">
        <v>71.02</v>
      </c>
      <c r="G44">
        <f>H44/60</f>
        <v/>
      </c>
      <c r="H44">
        <f>MEDIAN(0,I41,I42,I43,I44,I45,I46,I47,I48)</f>
        <v/>
      </c>
      <c r="I44" t="n">
        <v>70.5</v>
      </c>
      <c r="J44">
        <f>H44-F44</f>
        <v/>
      </c>
      <c r="K44">
        <f>ABS(J44)</f>
        <v/>
      </c>
      <c r="L44">
        <f>K44/F44*100</f>
        <v/>
      </c>
    </row>
    <row r="45">
      <c r="A45" t="inlineStr">
        <is>
          <t>subject02</t>
        </is>
      </c>
      <c r="B45" t="n">
        <v>5</v>
      </c>
      <c r="C45" t="n">
        <v>40</v>
      </c>
      <c r="D45" t="n">
        <v>80</v>
      </c>
      <c r="E45" t="n">
        <v>1.1931</v>
      </c>
      <c r="F45" t="n">
        <v>71.58</v>
      </c>
      <c r="G45">
        <f>H45/60</f>
        <v/>
      </c>
      <c r="H45">
        <f>MEDIAN(I41,I42,I43,I44,I45,I46,I47,I48,I49)</f>
        <v/>
      </c>
      <c r="I45" t="n">
        <v>72</v>
      </c>
      <c r="J45">
        <f>H45-F45</f>
        <v/>
      </c>
      <c r="K45">
        <f>ABS(J45)</f>
        <v/>
      </c>
      <c r="L45">
        <f>K45/F45*100</f>
        <v/>
      </c>
    </row>
    <row r="46">
      <c r="A46" t="inlineStr">
        <is>
          <t>subject02</t>
        </is>
      </c>
      <c r="B46" t="n">
        <v>6</v>
      </c>
      <c r="C46" t="n">
        <v>50</v>
      </c>
      <c r="D46" t="n">
        <v>90</v>
      </c>
      <c r="E46" t="n">
        <v>1.2172</v>
      </c>
      <c r="F46" t="n">
        <v>73.03</v>
      </c>
      <c r="G46">
        <f>H46/60</f>
        <v/>
      </c>
      <c r="H46">
        <f>MEDIAN(I42,I43,I44,I45,I46,I47,I48,I49,I50)</f>
        <v/>
      </c>
      <c r="I46" t="n">
        <v>72</v>
      </c>
      <c r="J46">
        <f>H46-F46</f>
        <v/>
      </c>
      <c r="K46">
        <f>ABS(J46)</f>
        <v/>
      </c>
      <c r="L46">
        <f>K46/F46*100</f>
        <v/>
      </c>
    </row>
    <row r="47">
      <c r="A47" t="inlineStr">
        <is>
          <t>subject02</t>
        </is>
      </c>
      <c r="B47" t="n">
        <v>7</v>
      </c>
      <c r="C47" t="n">
        <v>60</v>
      </c>
      <c r="D47" t="n">
        <v>100</v>
      </c>
      <c r="E47" t="n">
        <v>1.2322</v>
      </c>
      <c r="F47" t="n">
        <v>73.93000000000001</v>
      </c>
      <c r="G47">
        <f>H47/60</f>
        <v/>
      </c>
      <c r="H47">
        <f>MEDIAN(I43,I44,I45,I46,I47,I48,I49,I50,I51)</f>
        <v/>
      </c>
      <c r="I47" t="n">
        <v>75</v>
      </c>
      <c r="J47">
        <f>H47-F47</f>
        <v/>
      </c>
      <c r="K47">
        <f>ABS(J47)</f>
        <v/>
      </c>
      <c r="L47">
        <f>K47/F47*100</f>
        <v/>
      </c>
    </row>
    <row r="48">
      <c r="A48" t="inlineStr">
        <is>
          <t>subject02</t>
        </is>
      </c>
      <c r="B48" t="n">
        <v>8</v>
      </c>
      <c r="C48" t="n">
        <v>70</v>
      </c>
      <c r="D48" t="n">
        <v>110</v>
      </c>
      <c r="E48" t="n">
        <v>1.2481</v>
      </c>
      <c r="F48" t="n">
        <v>74.88</v>
      </c>
      <c r="G48">
        <f>H48/60</f>
        <v/>
      </c>
      <c r="H48">
        <f>MEDIAN(I44,I45,I46,I47,I48,I49,I50,I51,I52)</f>
        <v/>
      </c>
      <c r="I48" t="n">
        <v>75</v>
      </c>
      <c r="J48">
        <f>H48-F48</f>
        <v/>
      </c>
      <c r="K48">
        <f>ABS(J48)</f>
        <v/>
      </c>
      <c r="L48">
        <f>K48/F48*100</f>
        <v/>
      </c>
    </row>
    <row r="49">
      <c r="A49" t="inlineStr">
        <is>
          <t>subject02</t>
        </is>
      </c>
      <c r="B49" t="n">
        <v>9</v>
      </c>
      <c r="C49" t="n">
        <v>80</v>
      </c>
      <c r="D49" t="n">
        <v>120</v>
      </c>
      <c r="E49" t="n">
        <v>1.2934</v>
      </c>
      <c r="F49" t="n">
        <v>77.59999999999999</v>
      </c>
      <c r="G49">
        <f>H49/60</f>
        <v/>
      </c>
      <c r="H49">
        <f>MEDIAN(I45,I46,I47,I48,I49,I50,I51,I52,I53)</f>
        <v/>
      </c>
      <c r="I49" t="n">
        <v>75</v>
      </c>
      <c r="J49">
        <f>H49-F49</f>
        <v/>
      </c>
      <c r="K49">
        <f>ABS(J49)</f>
        <v/>
      </c>
      <c r="L49">
        <f>K49/F49*100</f>
        <v/>
      </c>
    </row>
    <row r="50">
      <c r="A50" t="inlineStr">
        <is>
          <t>subject02</t>
        </is>
      </c>
      <c r="B50" t="n">
        <v>10</v>
      </c>
      <c r="C50" t="n">
        <v>90</v>
      </c>
      <c r="D50" t="n">
        <v>130</v>
      </c>
      <c r="E50" t="n">
        <v>1.2946</v>
      </c>
      <c r="F50" t="n">
        <v>77.68000000000001</v>
      </c>
      <c r="G50">
        <f>H50/60</f>
        <v/>
      </c>
      <c r="H50">
        <f>MEDIAN(I46,I47,I48,I49,I50,I51,I52,I53,I54)</f>
        <v/>
      </c>
      <c r="I50" t="n">
        <v>75</v>
      </c>
      <c r="J50">
        <f>H50-F50</f>
        <v/>
      </c>
      <c r="K50">
        <f>ABS(J50)</f>
        <v/>
      </c>
      <c r="L50">
        <f>K50/F50*100</f>
        <v/>
      </c>
    </row>
    <row r="51">
      <c r="A51" t="inlineStr">
        <is>
          <t>subject02</t>
        </is>
      </c>
      <c r="B51" t="n">
        <v>11</v>
      </c>
      <c r="C51" t="n">
        <v>100</v>
      </c>
      <c r="D51" t="n">
        <v>140</v>
      </c>
      <c r="E51" t="n">
        <v>1.292</v>
      </c>
      <c r="F51" t="n">
        <v>77.52</v>
      </c>
      <c r="G51">
        <f>H51/60</f>
        <v/>
      </c>
      <c r="H51">
        <f>MEDIAN(I47,I48,I49,I50,I51,I52,I53,I54,I55)</f>
        <v/>
      </c>
      <c r="I51" t="n">
        <v>76.5</v>
      </c>
      <c r="J51">
        <f>H51-F51</f>
        <v/>
      </c>
      <c r="K51">
        <f>ABS(J51)</f>
        <v/>
      </c>
      <c r="L51">
        <f>K51/F51*100</f>
        <v/>
      </c>
    </row>
    <row r="52">
      <c r="A52" t="inlineStr">
        <is>
          <t>subject02</t>
        </is>
      </c>
      <c r="B52" t="n">
        <v>12</v>
      </c>
      <c r="C52" t="n">
        <v>110</v>
      </c>
      <c r="D52" t="n">
        <v>150</v>
      </c>
      <c r="E52" t="n">
        <v>1.2849</v>
      </c>
      <c r="F52" t="n">
        <v>77.09</v>
      </c>
      <c r="G52">
        <f>H52/60</f>
        <v/>
      </c>
      <c r="H52">
        <f>MEDIAN(I48,I49,I50,I51,I52,I53,I54,I55,I56)</f>
        <v/>
      </c>
      <c r="I52" t="n">
        <v>75</v>
      </c>
      <c r="J52">
        <f>H52-F52</f>
        <v/>
      </c>
      <c r="K52">
        <f>ABS(J52)</f>
        <v/>
      </c>
      <c r="L52">
        <f>K52/F52*100</f>
        <v/>
      </c>
    </row>
    <row r="53">
      <c r="A53" t="inlineStr">
        <is>
          <t>subject02</t>
        </is>
      </c>
      <c r="B53" t="n">
        <v>13</v>
      </c>
      <c r="C53" t="n">
        <v>120</v>
      </c>
      <c r="D53" t="n">
        <v>160</v>
      </c>
      <c r="E53" t="n">
        <v>1.2423</v>
      </c>
      <c r="F53" t="n">
        <v>74.54000000000001</v>
      </c>
      <c r="G53">
        <f>H53/60</f>
        <v/>
      </c>
      <c r="H53">
        <f>MEDIAN(I49,I50,I51,I52,I53,I54,I55,I56,I57)</f>
        <v/>
      </c>
      <c r="I53" t="n">
        <v>75</v>
      </c>
      <c r="J53">
        <f>H53-F53</f>
        <v/>
      </c>
      <c r="K53">
        <f>ABS(J53)</f>
        <v/>
      </c>
      <c r="L53">
        <f>K53/F53*100</f>
        <v/>
      </c>
    </row>
    <row r="54">
      <c r="A54" t="inlineStr">
        <is>
          <t>subject02</t>
        </is>
      </c>
      <c r="B54" t="n">
        <v>14</v>
      </c>
      <c r="C54" t="n">
        <v>130</v>
      </c>
      <c r="D54" t="n">
        <v>170</v>
      </c>
      <c r="E54" t="n">
        <v>1.2384</v>
      </c>
      <c r="F54" t="n">
        <v>74.3</v>
      </c>
      <c r="G54">
        <f>H54/60</f>
        <v/>
      </c>
      <c r="H54">
        <f>MEDIAN(I50,I51,I52,I53,I54,I55,I56,I57,I58)</f>
        <v/>
      </c>
      <c r="I54" t="n">
        <v>55.5</v>
      </c>
      <c r="J54">
        <f>H54-F54</f>
        <v/>
      </c>
      <c r="K54">
        <f>ABS(J54)</f>
        <v/>
      </c>
      <c r="L54">
        <f>K54/F54*100</f>
        <v/>
      </c>
    </row>
    <row r="55">
      <c r="A55" t="inlineStr">
        <is>
          <t>subject02</t>
        </is>
      </c>
      <c r="B55" t="n">
        <v>15</v>
      </c>
      <c r="C55" t="n">
        <v>140</v>
      </c>
      <c r="D55" t="n">
        <v>180</v>
      </c>
      <c r="E55" t="n">
        <v>1.242</v>
      </c>
      <c r="F55" t="n">
        <v>74.52</v>
      </c>
      <c r="G55">
        <f>H55/60</f>
        <v/>
      </c>
      <c r="H55">
        <f>MEDIAN(I51,I52,I53,I54,I55,I56,I57,I58,I59)</f>
        <v/>
      </c>
      <c r="I55" t="n">
        <v>55.5</v>
      </c>
      <c r="J55">
        <f>H55-F55</f>
        <v/>
      </c>
      <c r="K55">
        <f>ABS(J55)</f>
        <v/>
      </c>
      <c r="L55">
        <f>K55/F55*100</f>
        <v/>
      </c>
    </row>
    <row r="56">
      <c r="A56" t="inlineStr">
        <is>
          <t>subject02</t>
        </is>
      </c>
      <c r="B56" t="n">
        <v>16</v>
      </c>
      <c r="C56" t="n">
        <v>150</v>
      </c>
      <c r="D56" t="n">
        <v>190</v>
      </c>
      <c r="E56" t="n">
        <v>1.2507</v>
      </c>
      <c r="F56" t="n">
        <v>75.04000000000001</v>
      </c>
      <c r="G56">
        <f>H56/60</f>
        <v/>
      </c>
      <c r="H56">
        <f>MEDIAN(I52,I53,I54,I55,I56,I57,I58,I59,I60)</f>
        <v/>
      </c>
      <c r="I56" t="n">
        <v>55.5</v>
      </c>
      <c r="J56">
        <f>H56-F56</f>
        <v/>
      </c>
      <c r="K56">
        <f>ABS(J56)</f>
        <v/>
      </c>
      <c r="L56">
        <f>K56/F56*100</f>
        <v/>
      </c>
    </row>
    <row r="57">
      <c r="A57" t="inlineStr">
        <is>
          <t>subject02</t>
        </is>
      </c>
      <c r="B57" t="n">
        <v>17</v>
      </c>
      <c r="C57" t="n">
        <v>160</v>
      </c>
      <c r="D57" t="n">
        <v>200</v>
      </c>
      <c r="E57" t="n">
        <v>1.2591</v>
      </c>
      <c r="F57" t="n">
        <v>75.55</v>
      </c>
      <c r="G57">
        <f>H57/60</f>
        <v/>
      </c>
      <c r="H57">
        <f>MEDIAN(I53,I54,I55,I56,I57,I58,I59,I60,I61)</f>
        <v/>
      </c>
      <c r="I57" t="n">
        <v>76.5</v>
      </c>
      <c r="J57">
        <f>H57-F57</f>
        <v/>
      </c>
      <c r="K57">
        <f>ABS(J57)</f>
        <v/>
      </c>
      <c r="L57">
        <f>K57/F57*100</f>
        <v/>
      </c>
    </row>
    <row r="58">
      <c r="A58" t="inlineStr">
        <is>
          <t>subject02</t>
        </is>
      </c>
      <c r="B58" t="n">
        <v>18</v>
      </c>
      <c r="C58" t="n">
        <v>170</v>
      </c>
      <c r="D58" t="n">
        <v>210</v>
      </c>
      <c r="E58" t="n">
        <v>1.2597</v>
      </c>
      <c r="F58" t="n">
        <v>75.58</v>
      </c>
      <c r="G58">
        <f>H58/60</f>
        <v/>
      </c>
      <c r="H58">
        <f>MEDIAN(I54,I55,I56,I57,I58,I59,I60,I61,I62)</f>
        <v/>
      </c>
      <c r="I58" t="n">
        <v>76.5</v>
      </c>
      <c r="J58">
        <f>H58-F58</f>
        <v/>
      </c>
      <c r="K58">
        <f>ABS(J58)</f>
        <v/>
      </c>
      <c r="L58">
        <f>K58/F58*100</f>
        <v/>
      </c>
    </row>
    <row r="59">
      <c r="A59" t="inlineStr">
        <is>
          <t>subject02</t>
        </is>
      </c>
      <c r="B59" t="n">
        <v>19</v>
      </c>
      <c r="C59" t="n">
        <v>180</v>
      </c>
      <c r="D59" t="n">
        <v>220</v>
      </c>
      <c r="E59" t="n">
        <v>1.2722</v>
      </c>
      <c r="F59" t="n">
        <v>76.33</v>
      </c>
      <c r="G59">
        <f>H59/60</f>
        <v/>
      </c>
      <c r="H59">
        <f>MEDIAN(I55,I56,I57,I58,I59,I60,I61,I62,I63)</f>
        <v/>
      </c>
      <c r="I59" t="n">
        <v>75</v>
      </c>
      <c r="J59">
        <f>H59-F59</f>
        <v/>
      </c>
      <c r="K59">
        <f>ABS(J59)</f>
        <v/>
      </c>
      <c r="L59">
        <f>K59/F59*100</f>
        <v/>
      </c>
    </row>
    <row r="60">
      <c r="A60" t="inlineStr">
        <is>
          <t>subject02</t>
        </is>
      </c>
      <c r="B60" t="n">
        <v>20</v>
      </c>
      <c r="C60" t="n">
        <v>190</v>
      </c>
      <c r="D60" t="n">
        <v>230</v>
      </c>
      <c r="E60" t="n">
        <v>1.2821</v>
      </c>
      <c r="F60" t="n">
        <v>76.92</v>
      </c>
      <c r="G60">
        <f>H60/60</f>
        <v/>
      </c>
      <c r="H60">
        <f>MEDIAN(I56,I57,I58,I59,I60,I61,I62,I63,I64)</f>
        <v/>
      </c>
      <c r="I60" t="n">
        <v>81</v>
      </c>
      <c r="J60">
        <f>H60-F60</f>
        <v/>
      </c>
      <c r="K60">
        <f>ABS(J60)</f>
        <v/>
      </c>
      <c r="L60">
        <f>K60/F60*100</f>
        <v/>
      </c>
    </row>
    <row r="61">
      <c r="A61" t="inlineStr">
        <is>
          <t>subject02</t>
        </is>
      </c>
      <c r="B61" t="n">
        <v>21</v>
      </c>
      <c r="C61" t="n">
        <v>200</v>
      </c>
      <c r="D61" t="n">
        <v>240</v>
      </c>
      <c r="E61" t="n">
        <v>1.289</v>
      </c>
      <c r="F61" t="n">
        <v>77.34</v>
      </c>
      <c r="G61">
        <f>H61/60</f>
        <v/>
      </c>
      <c r="H61">
        <f>MEDIAN(I57,I58,I59,I60,I61,I62,I63,I64,I65)</f>
        <v/>
      </c>
      <c r="I61" t="n">
        <v>79.5</v>
      </c>
      <c r="J61">
        <f>H61-F61</f>
        <v/>
      </c>
      <c r="K61">
        <f>ABS(J61)</f>
        <v/>
      </c>
      <c r="L61">
        <f>K61/F61*100</f>
        <v/>
      </c>
    </row>
    <row r="62">
      <c r="A62" t="inlineStr">
        <is>
          <t>subject02</t>
        </is>
      </c>
      <c r="B62" t="n">
        <v>22</v>
      </c>
      <c r="C62" t="n">
        <v>210</v>
      </c>
      <c r="D62" t="n">
        <v>250</v>
      </c>
      <c r="E62" t="n">
        <v>1.2973</v>
      </c>
      <c r="F62" t="n">
        <v>77.84</v>
      </c>
      <c r="G62">
        <f>H62/60</f>
        <v/>
      </c>
      <c r="H62">
        <f>MEDIAN(I58,I59,I60,I61,I62,I63,I64,I65,I66)</f>
        <v/>
      </c>
      <c r="I62" t="n">
        <v>91.5</v>
      </c>
      <c r="J62">
        <f>H62-F62</f>
        <v/>
      </c>
      <c r="K62">
        <f>ABS(J62)</f>
        <v/>
      </c>
      <c r="L62">
        <f>K62/F62*100</f>
        <v/>
      </c>
    </row>
    <row r="63">
      <c r="A63" t="inlineStr">
        <is>
          <t>subject02</t>
        </is>
      </c>
      <c r="B63" t="n">
        <v>23</v>
      </c>
      <c r="C63" t="n">
        <v>220</v>
      </c>
      <c r="D63" t="n">
        <v>260</v>
      </c>
      <c r="E63" t="n">
        <v>1.2993</v>
      </c>
      <c r="F63" t="n">
        <v>77.95999999999999</v>
      </c>
      <c r="G63">
        <f>H63/60</f>
        <v/>
      </c>
      <c r="H63">
        <f>MEDIAN(I59,I60,I61,I62,I63,I64,I65,I66,I67)</f>
        <v/>
      </c>
      <c r="I63" t="n">
        <v>57</v>
      </c>
      <c r="J63">
        <f>H63-F63</f>
        <v/>
      </c>
      <c r="K63">
        <f>ABS(J63)</f>
        <v/>
      </c>
      <c r="L63">
        <f>K63/F63*100</f>
        <v/>
      </c>
    </row>
    <row r="64">
      <c r="A64" t="inlineStr">
        <is>
          <t>subject02</t>
        </is>
      </c>
      <c r="B64" t="n">
        <v>24</v>
      </c>
      <c r="C64" t="n">
        <v>230</v>
      </c>
      <c r="D64" t="n">
        <v>270</v>
      </c>
      <c r="E64" t="n">
        <v>1.3107</v>
      </c>
      <c r="F64" t="n">
        <v>78.64</v>
      </c>
      <c r="G64">
        <f>H64/60</f>
        <v/>
      </c>
      <c r="H64">
        <f>MEDIAN(I60,I61,I62,I63,I64,I65,I66,I67,I68)</f>
        <v/>
      </c>
      <c r="I64" t="n">
        <v>57</v>
      </c>
      <c r="J64">
        <f>H64-F64</f>
        <v/>
      </c>
      <c r="K64">
        <f>ABS(J64)</f>
        <v/>
      </c>
      <c r="L64">
        <f>K64/F64*100</f>
        <v/>
      </c>
    </row>
    <row r="65">
      <c r="A65" t="inlineStr">
        <is>
          <t>subject02</t>
        </is>
      </c>
      <c r="B65" t="n">
        <v>25</v>
      </c>
      <c r="C65" t="n">
        <v>240</v>
      </c>
      <c r="D65" t="n">
        <v>280</v>
      </c>
      <c r="E65" t="n">
        <v>1.3164</v>
      </c>
      <c r="F65" t="n">
        <v>78.98</v>
      </c>
      <c r="G65">
        <f>H65/60</f>
        <v/>
      </c>
      <c r="H65">
        <f>MEDIAN(I61,I62,I63,I64,I65,I66,I67,I68,I69)</f>
        <v/>
      </c>
      <c r="I65" t="n">
        <v>64.5</v>
      </c>
      <c r="J65">
        <f>H65-F65</f>
        <v/>
      </c>
      <c r="K65">
        <f>ABS(J65)</f>
        <v/>
      </c>
      <c r="L65">
        <f>K65/F65*100</f>
        <v/>
      </c>
    </row>
    <row r="66">
      <c r="A66" t="inlineStr">
        <is>
          <t>subject02</t>
        </is>
      </c>
      <c r="B66" t="n">
        <v>26</v>
      </c>
      <c r="C66" t="n">
        <v>250</v>
      </c>
      <c r="D66" t="n">
        <v>290</v>
      </c>
      <c r="E66" t="n">
        <v>1.3313</v>
      </c>
      <c r="F66" t="n">
        <v>79.88</v>
      </c>
      <c r="G66">
        <f>H66/60</f>
        <v/>
      </c>
      <c r="H66">
        <f>MEDIAN(I62,I63,I64,I65,I66,I67,I68,I69,I70)</f>
        <v/>
      </c>
      <c r="I66" t="n">
        <v>79.5</v>
      </c>
      <c r="J66">
        <f>H66-F66</f>
        <v/>
      </c>
      <c r="K66">
        <f>ABS(J66)</f>
        <v/>
      </c>
      <c r="L66">
        <f>K66/F66*100</f>
        <v/>
      </c>
    </row>
    <row r="67">
      <c r="A67" t="inlineStr">
        <is>
          <t>subject02</t>
        </is>
      </c>
      <c r="B67" t="n">
        <v>27</v>
      </c>
      <c r="C67" t="n">
        <v>260</v>
      </c>
      <c r="D67" t="n">
        <v>300</v>
      </c>
      <c r="E67" t="n">
        <v>1.3383</v>
      </c>
      <c r="F67" t="n">
        <v>80.3</v>
      </c>
      <c r="G67">
        <f>H67/60</f>
        <v/>
      </c>
      <c r="H67">
        <f>MEDIAN(I63,I64,I65,I66,I67,I68,I69,I70,I71)</f>
        <v/>
      </c>
      <c r="I67" t="n">
        <v>79.5</v>
      </c>
      <c r="J67">
        <f>H67-F67</f>
        <v/>
      </c>
      <c r="K67">
        <f>ABS(J67)</f>
        <v/>
      </c>
      <c r="L67">
        <f>K67/F67*100</f>
        <v/>
      </c>
    </row>
    <row r="68">
      <c r="A68" t="inlineStr">
        <is>
          <t>subject02</t>
        </is>
      </c>
      <c r="B68" t="n">
        <v>28</v>
      </c>
      <c r="C68" t="n">
        <v>270</v>
      </c>
      <c r="D68" t="n">
        <v>310</v>
      </c>
      <c r="E68" t="n">
        <v>1.3403</v>
      </c>
      <c r="F68" t="n">
        <v>80.42</v>
      </c>
      <c r="G68">
        <f>H68/60</f>
        <v/>
      </c>
      <c r="H68">
        <f>MEDIAN(I64,I65,I66,I67,I68,I69,I70,I71,I72)</f>
        <v/>
      </c>
      <c r="I68" t="n">
        <v>81</v>
      </c>
      <c r="J68">
        <f>H68-F68</f>
        <v/>
      </c>
      <c r="K68">
        <f>ABS(J68)</f>
        <v/>
      </c>
      <c r="L68">
        <f>K68/F68*100</f>
        <v/>
      </c>
    </row>
    <row r="69">
      <c r="A69" t="inlineStr">
        <is>
          <t>subject02</t>
        </is>
      </c>
      <c r="B69" t="n">
        <v>29</v>
      </c>
      <c r="C69" t="n">
        <v>280</v>
      </c>
      <c r="D69" t="n">
        <v>320</v>
      </c>
      <c r="E69" t="n">
        <v>1.3437</v>
      </c>
      <c r="F69" t="n">
        <v>80.62</v>
      </c>
      <c r="G69">
        <f>H69/60</f>
        <v/>
      </c>
      <c r="H69">
        <f>MEDIAN(I65,I66,I67,I68,I69,I70,I71,I72,I73)</f>
        <v/>
      </c>
      <c r="I69" t="n">
        <v>58.5</v>
      </c>
      <c r="J69">
        <f>H69-F69</f>
        <v/>
      </c>
      <c r="K69">
        <f>ABS(J69)</f>
        <v/>
      </c>
      <c r="L69">
        <f>K69/F69*100</f>
        <v/>
      </c>
    </row>
    <row r="70">
      <c r="A70" t="inlineStr">
        <is>
          <t>subject02</t>
        </is>
      </c>
      <c r="B70" t="n">
        <v>30</v>
      </c>
      <c r="C70" t="n">
        <v>290</v>
      </c>
      <c r="D70" t="n">
        <v>330</v>
      </c>
      <c r="E70" t="n">
        <v>1.3399</v>
      </c>
      <c r="F70" t="n">
        <v>80.39</v>
      </c>
      <c r="G70">
        <f>H70/60</f>
        <v/>
      </c>
      <c r="H70">
        <f>MEDIAN(I66,I67,I68,I69,I70,I71,I72,I73,I74)</f>
        <v/>
      </c>
      <c r="I70" t="n">
        <v>58.5</v>
      </c>
      <c r="J70">
        <f>H70-F70</f>
        <v/>
      </c>
      <c r="K70">
        <f>ABS(J70)</f>
        <v/>
      </c>
      <c r="L70">
        <f>K70/F70*100</f>
        <v/>
      </c>
    </row>
    <row r="71">
      <c r="A71" t="inlineStr">
        <is>
          <t>subject02</t>
        </is>
      </c>
      <c r="B71" t="n">
        <v>31</v>
      </c>
      <c r="C71" t="n">
        <v>300</v>
      </c>
      <c r="D71" t="n">
        <v>340</v>
      </c>
      <c r="E71" t="n">
        <v>1.3312</v>
      </c>
      <c r="F71" t="n">
        <v>79.87</v>
      </c>
      <c r="G71">
        <f>H71/60</f>
        <v/>
      </c>
      <c r="H71">
        <f>MEDIAN(I67,I68,I69,I70,I71,I72,I73,I74,I75)</f>
        <v/>
      </c>
      <c r="I71" t="n">
        <v>79.5</v>
      </c>
      <c r="J71">
        <f>H71-F71</f>
        <v/>
      </c>
      <c r="K71">
        <f>ABS(J71)</f>
        <v/>
      </c>
      <c r="L71">
        <f>K71/F71*100</f>
        <v/>
      </c>
    </row>
    <row r="72">
      <c r="A72" t="inlineStr">
        <is>
          <t>subject02</t>
        </is>
      </c>
      <c r="B72" t="n">
        <v>32</v>
      </c>
      <c r="C72" t="n">
        <v>310</v>
      </c>
      <c r="D72" t="n">
        <v>350</v>
      </c>
      <c r="E72" t="n">
        <v>1.3204</v>
      </c>
      <c r="F72" t="n">
        <v>79.22</v>
      </c>
      <c r="G72">
        <f>H72/60</f>
        <v/>
      </c>
      <c r="H72">
        <f>MEDIAN(I68,I69,I70,I71,I72,I73,I74,I75,I76)</f>
        <v/>
      </c>
      <c r="I72" t="n">
        <v>79.5</v>
      </c>
      <c r="J72">
        <f>H72-F72</f>
        <v/>
      </c>
      <c r="K72">
        <f>ABS(J72)</f>
        <v/>
      </c>
      <c r="L72">
        <f>K72/F72*100</f>
        <v/>
      </c>
    </row>
    <row r="73">
      <c r="A73" t="inlineStr">
        <is>
          <t>subject02</t>
        </is>
      </c>
      <c r="B73" t="n">
        <v>33</v>
      </c>
      <c r="C73" t="n">
        <v>320</v>
      </c>
      <c r="D73" t="n">
        <v>360</v>
      </c>
      <c r="E73" t="n">
        <v>1.3137</v>
      </c>
      <c r="F73" t="n">
        <v>78.81999999999999</v>
      </c>
      <c r="G73">
        <f>H73/60</f>
        <v/>
      </c>
      <c r="H73">
        <f>MEDIAN(I69,I70,I71,I72,I73,I74,I75,I76,I77)</f>
        <v/>
      </c>
      <c r="I73" t="n">
        <v>78</v>
      </c>
      <c r="J73">
        <f>H73-F73</f>
        <v/>
      </c>
      <c r="K73">
        <f>ABS(J73)</f>
        <v/>
      </c>
      <c r="L73">
        <f>K73/F73*100</f>
        <v/>
      </c>
    </row>
    <row r="74">
      <c r="A74" t="inlineStr">
        <is>
          <t>subject02</t>
        </is>
      </c>
      <c r="B74" t="n">
        <v>34</v>
      </c>
      <c r="C74" t="n">
        <v>330</v>
      </c>
      <c r="D74" t="n">
        <v>370</v>
      </c>
      <c r="E74" t="n">
        <v>1.3206</v>
      </c>
      <c r="F74" t="n">
        <v>79.23</v>
      </c>
      <c r="G74">
        <f>H74/60</f>
        <v/>
      </c>
      <c r="H74">
        <f>MEDIAN(I70,I71,I72,I73,I74,I75,I76,I77,I78)</f>
        <v/>
      </c>
      <c r="I74" t="n">
        <v>78</v>
      </c>
      <c r="J74">
        <f>H74-F74</f>
        <v/>
      </c>
      <c r="K74">
        <f>ABS(J74)</f>
        <v/>
      </c>
      <c r="L74">
        <f>K74/F74*100</f>
        <v/>
      </c>
    </row>
    <row r="75">
      <c r="A75" t="inlineStr">
        <is>
          <t>subject02</t>
        </is>
      </c>
      <c r="B75" t="n">
        <v>35</v>
      </c>
      <c r="C75" t="n">
        <v>340</v>
      </c>
      <c r="D75" t="n">
        <v>380</v>
      </c>
      <c r="E75" t="n">
        <v>1.3237</v>
      </c>
      <c r="F75" t="n">
        <v>79.42</v>
      </c>
      <c r="G75">
        <f>H75/60</f>
        <v/>
      </c>
      <c r="H75">
        <f>MEDIAN(I71,I72,I73,I74,I75,I76,I77,I78,I79)</f>
        <v/>
      </c>
      <c r="I75" t="n">
        <v>76.5</v>
      </c>
      <c r="J75">
        <f>H75-F75</f>
        <v/>
      </c>
      <c r="K75">
        <f>ABS(J75)</f>
        <v/>
      </c>
      <c r="L75">
        <f>K75/F75*100</f>
        <v/>
      </c>
    </row>
    <row r="76">
      <c r="A76" t="inlineStr">
        <is>
          <t>subject02</t>
        </is>
      </c>
      <c r="B76" t="n">
        <v>36</v>
      </c>
      <c r="C76" t="n">
        <v>350</v>
      </c>
      <c r="D76" t="n">
        <v>390</v>
      </c>
      <c r="E76" t="n">
        <v>1.3221</v>
      </c>
      <c r="F76" t="n">
        <v>79.33</v>
      </c>
      <c r="G76">
        <f>H76/60</f>
        <v/>
      </c>
      <c r="H76">
        <f>MEDIAN(I72,I73,I74,I75,I76,I77,I78,I79,0)</f>
        <v/>
      </c>
      <c r="I76" t="n">
        <v>85.5</v>
      </c>
      <c r="J76">
        <f>H76-F76</f>
        <v/>
      </c>
      <c r="K76">
        <f>ABS(J76)</f>
        <v/>
      </c>
      <c r="L76">
        <f>K76/F76*100</f>
        <v/>
      </c>
    </row>
    <row r="77">
      <c r="A77" t="inlineStr">
        <is>
          <t>subject02</t>
        </is>
      </c>
      <c r="B77" t="n">
        <v>37</v>
      </c>
      <c r="C77" t="n">
        <v>360</v>
      </c>
      <c r="D77" t="n">
        <v>400</v>
      </c>
      <c r="E77" t="n">
        <v>1.3401</v>
      </c>
      <c r="F77" t="n">
        <v>80.41</v>
      </c>
      <c r="G77">
        <f>H77/60</f>
        <v/>
      </c>
      <c r="H77">
        <f>MEDIAN(I73,I74,I75,I76,I77,I78,I79,0,0)</f>
        <v/>
      </c>
      <c r="I77" t="n">
        <v>79.5</v>
      </c>
      <c r="J77">
        <f>H77-F77</f>
        <v/>
      </c>
      <c r="K77">
        <f>ABS(J77)</f>
        <v/>
      </c>
      <c r="L77">
        <f>K77/F77*100</f>
        <v/>
      </c>
    </row>
    <row r="78">
      <c r="A78" t="inlineStr">
        <is>
          <t>subject02</t>
        </is>
      </c>
      <c r="B78" t="n">
        <v>38</v>
      </c>
      <c r="C78" t="n">
        <v>370</v>
      </c>
      <c r="D78" t="n">
        <v>410</v>
      </c>
      <c r="E78" t="n">
        <v>1.3465</v>
      </c>
      <c r="F78" t="n">
        <v>80.79000000000001</v>
      </c>
      <c r="G78">
        <f>H78/60</f>
        <v/>
      </c>
      <c r="H78">
        <f>MEDIAN(I74,I75,I76,I77,I78,I79,0,0,0)</f>
        <v/>
      </c>
      <c r="I78" t="n">
        <v>79.5</v>
      </c>
      <c r="J78">
        <f>H78-F78</f>
        <v/>
      </c>
      <c r="K78">
        <f>ABS(J78)</f>
        <v/>
      </c>
      <c r="L78">
        <f>K78/F78*100</f>
        <v/>
      </c>
    </row>
    <row r="79">
      <c r="A79" t="inlineStr">
        <is>
          <t>subject02</t>
        </is>
      </c>
      <c r="B79" t="n">
        <v>39</v>
      </c>
      <c r="C79" t="n">
        <v>380</v>
      </c>
      <c r="D79" t="n">
        <v>420</v>
      </c>
      <c r="E79" t="n">
        <v>1.3634</v>
      </c>
      <c r="F79" t="n">
        <v>81.8</v>
      </c>
      <c r="G79">
        <f>H79/60</f>
        <v/>
      </c>
      <c r="H79">
        <f>MEDIAN(I75,I76,I77,I78,I79,0,0,0,0)</f>
        <v/>
      </c>
      <c r="I79" t="n">
        <v>55.5</v>
      </c>
      <c r="J79">
        <f>H79-F79</f>
        <v/>
      </c>
      <c r="K79">
        <f>ABS(J79)</f>
        <v/>
      </c>
      <c r="L79">
        <f>K79/F79*100</f>
        <v/>
      </c>
    </row>
    <row r="80">
      <c r="A80" t="inlineStr">
        <is>
          <t>subject03</t>
        </is>
      </c>
      <c r="B80" t="n">
        <v>1</v>
      </c>
      <c r="C80" t="n">
        <v>0</v>
      </c>
      <c r="D80" t="n">
        <v>40</v>
      </c>
      <c r="E80" t="n">
        <v>1.3103</v>
      </c>
      <c r="F80" t="n">
        <v>78.62</v>
      </c>
      <c r="G80">
        <f>H80/60</f>
        <v/>
      </c>
      <c r="H80">
        <f>MEDIAN(0,0,0,0,I80,I81,I82,I83,I84)</f>
        <v/>
      </c>
      <c r="I80" t="n">
        <v>76.5</v>
      </c>
      <c r="J80">
        <f>H80-F80</f>
        <v/>
      </c>
      <c r="K80">
        <f>ABS(J80)</f>
        <v/>
      </c>
      <c r="L80">
        <f>K80/F80*100</f>
        <v/>
      </c>
    </row>
    <row r="81">
      <c r="A81" t="inlineStr">
        <is>
          <t>subject03</t>
        </is>
      </c>
      <c r="B81" t="n">
        <v>2</v>
      </c>
      <c r="C81" t="n">
        <v>10</v>
      </c>
      <c r="D81" t="n">
        <v>50</v>
      </c>
      <c r="E81" t="n">
        <v>1.2943</v>
      </c>
      <c r="F81" t="n">
        <v>77.66</v>
      </c>
      <c r="G81">
        <f>H81/60</f>
        <v/>
      </c>
      <c r="H81">
        <f>MEDIAN(0,0,0,I80,I81,I82,I83,I84,I85)</f>
        <v/>
      </c>
      <c r="I81" t="n">
        <v>76.5</v>
      </c>
      <c r="J81">
        <f>H81-F81</f>
        <v/>
      </c>
      <c r="K81">
        <f>ABS(J81)</f>
        <v/>
      </c>
      <c r="L81">
        <f>K81/F81*100</f>
        <v/>
      </c>
    </row>
    <row r="82">
      <c r="A82" t="inlineStr">
        <is>
          <t>subject03</t>
        </is>
      </c>
      <c r="B82" t="n">
        <v>3</v>
      </c>
      <c r="C82" t="n">
        <v>20</v>
      </c>
      <c r="D82" t="n">
        <v>60</v>
      </c>
      <c r="E82" t="n">
        <v>1.2891</v>
      </c>
      <c r="F82" t="n">
        <v>77.34</v>
      </c>
      <c r="G82">
        <f>H82/60</f>
        <v/>
      </c>
      <c r="H82">
        <f>MEDIAN(0,0,I80,I81,I82,I83,I84,I85,I86)</f>
        <v/>
      </c>
      <c r="I82" t="n">
        <v>58.5</v>
      </c>
      <c r="J82">
        <f>H82-F82</f>
        <v/>
      </c>
      <c r="K82">
        <f>ABS(J82)</f>
        <v/>
      </c>
      <c r="L82">
        <f>K82/F82*100</f>
        <v/>
      </c>
    </row>
    <row r="83">
      <c r="A83" t="inlineStr">
        <is>
          <t>subject03</t>
        </is>
      </c>
      <c r="B83" t="n">
        <v>4</v>
      </c>
      <c r="C83" t="n">
        <v>30</v>
      </c>
      <c r="D83" t="n">
        <v>70</v>
      </c>
      <c r="E83" t="n">
        <v>1.2868</v>
      </c>
      <c r="F83" t="n">
        <v>77.20999999999999</v>
      </c>
      <c r="G83">
        <f>H83/60</f>
        <v/>
      </c>
      <c r="H83">
        <f>MEDIAN(0,I80,I81,I82,I83,I84,I85,I86,I87)</f>
        <v/>
      </c>
      <c r="I83" t="n">
        <v>76.5</v>
      </c>
      <c r="J83">
        <f>H83-F83</f>
        <v/>
      </c>
      <c r="K83">
        <f>ABS(J83)</f>
        <v/>
      </c>
      <c r="L83">
        <f>K83/F83*100</f>
        <v/>
      </c>
    </row>
    <row r="84">
      <c r="A84" t="inlineStr">
        <is>
          <t>subject03</t>
        </is>
      </c>
      <c r="B84" t="n">
        <v>5</v>
      </c>
      <c r="C84" t="n">
        <v>40</v>
      </c>
      <c r="D84" t="n">
        <v>80</v>
      </c>
      <c r="E84" t="n">
        <v>1.2916</v>
      </c>
      <c r="F84" t="n">
        <v>77.5</v>
      </c>
      <c r="G84">
        <f>H84/60</f>
        <v/>
      </c>
      <c r="H84">
        <f>MEDIAN(I80,I81,I82,I83,I84,I85,I86,I87,I88)</f>
        <v/>
      </c>
      <c r="I84" t="n">
        <v>96</v>
      </c>
      <c r="J84">
        <f>H84-F84</f>
        <v/>
      </c>
      <c r="K84">
        <f>ABS(J84)</f>
        <v/>
      </c>
      <c r="L84">
        <f>K84/F84*100</f>
        <v/>
      </c>
    </row>
    <row r="85">
      <c r="A85" t="inlineStr">
        <is>
          <t>subject03</t>
        </is>
      </c>
      <c r="B85" t="n">
        <v>6</v>
      </c>
      <c r="C85" t="n">
        <v>50</v>
      </c>
      <c r="D85" t="n">
        <v>90</v>
      </c>
      <c r="E85" t="n">
        <v>1.3066</v>
      </c>
      <c r="F85" t="n">
        <v>78.40000000000001</v>
      </c>
      <c r="G85">
        <f>H85/60</f>
        <v/>
      </c>
      <c r="H85">
        <f>MEDIAN(I81,I82,I83,I84,I85,I86,I87,I88,I89)</f>
        <v/>
      </c>
      <c r="I85" t="n">
        <v>64.5</v>
      </c>
      <c r="J85">
        <f>H85-F85</f>
        <v/>
      </c>
      <c r="K85">
        <f>ABS(J85)</f>
        <v/>
      </c>
      <c r="L85">
        <f>K85/F85*100</f>
        <v/>
      </c>
    </row>
    <row r="86">
      <c r="A86" t="inlineStr">
        <is>
          <t>subject03</t>
        </is>
      </c>
      <c r="B86" t="n">
        <v>7</v>
      </c>
      <c r="C86" t="n">
        <v>60</v>
      </c>
      <c r="D86" t="n">
        <v>100</v>
      </c>
      <c r="E86" t="n">
        <v>1.31</v>
      </c>
      <c r="F86" t="n">
        <v>78.59999999999999</v>
      </c>
      <c r="G86">
        <f>H86/60</f>
        <v/>
      </c>
      <c r="H86">
        <f>MEDIAN(I82,I83,I84,I85,I86,I87,I88,I89,I90)</f>
        <v/>
      </c>
      <c r="I86" t="n">
        <v>63</v>
      </c>
      <c r="J86">
        <f>H86-F86</f>
        <v/>
      </c>
      <c r="K86">
        <f>ABS(J86)</f>
        <v/>
      </c>
      <c r="L86">
        <f>K86/F86*100</f>
        <v/>
      </c>
    </row>
    <row r="87">
      <c r="A87" t="inlineStr">
        <is>
          <t>subject03</t>
        </is>
      </c>
      <c r="B87" t="n">
        <v>8</v>
      </c>
      <c r="C87" t="n">
        <v>70</v>
      </c>
      <c r="D87" t="n">
        <v>110</v>
      </c>
      <c r="E87" t="n">
        <v>1.3085</v>
      </c>
      <c r="F87" t="n">
        <v>78.51000000000001</v>
      </c>
      <c r="G87">
        <f>H87/60</f>
        <v/>
      </c>
      <c r="H87">
        <f>MEDIAN(I83,I84,I85,I86,I87,I88,I89,I90,I91)</f>
        <v/>
      </c>
      <c r="I87" t="n">
        <v>58.5</v>
      </c>
      <c r="J87">
        <f>H87-F87</f>
        <v/>
      </c>
      <c r="K87">
        <f>ABS(J87)</f>
        <v/>
      </c>
      <c r="L87">
        <f>K87/F87*100</f>
        <v/>
      </c>
    </row>
    <row r="88">
      <c r="A88" t="inlineStr">
        <is>
          <t>subject03</t>
        </is>
      </c>
      <c r="B88" t="n">
        <v>9</v>
      </c>
      <c r="C88" t="n">
        <v>80</v>
      </c>
      <c r="D88" t="n">
        <v>120</v>
      </c>
      <c r="E88" t="n">
        <v>1.3185</v>
      </c>
      <c r="F88" t="n">
        <v>79.11</v>
      </c>
      <c r="G88">
        <f>H88/60</f>
        <v/>
      </c>
      <c r="H88">
        <f>MEDIAN(I84,I85,I86,I87,I88,I89,I90,I91,I92)</f>
        <v/>
      </c>
      <c r="I88" t="n">
        <v>57</v>
      </c>
      <c r="J88">
        <f>H88-F88</f>
        <v/>
      </c>
      <c r="K88">
        <f>ABS(J88)</f>
        <v/>
      </c>
      <c r="L88">
        <f>K88/F88*100</f>
        <v/>
      </c>
    </row>
    <row r="89">
      <c r="A89" t="inlineStr">
        <is>
          <t>subject03</t>
        </is>
      </c>
      <c r="B89" t="n">
        <v>10</v>
      </c>
      <c r="C89" t="n">
        <v>90</v>
      </c>
      <c r="D89" t="n">
        <v>130</v>
      </c>
      <c r="E89" t="n">
        <v>1.3077</v>
      </c>
      <c r="F89" t="n">
        <v>78.45999999999999</v>
      </c>
      <c r="G89">
        <f>H89/60</f>
        <v/>
      </c>
      <c r="H89">
        <f>MEDIAN(I85,I86,I87,I88,I89,I90,I91,I92,I93)</f>
        <v/>
      </c>
      <c r="I89" t="n">
        <v>79.5</v>
      </c>
      <c r="J89">
        <f>H89-F89</f>
        <v/>
      </c>
      <c r="K89">
        <f>ABS(J89)</f>
        <v/>
      </c>
      <c r="L89">
        <f>K89/F89*100</f>
        <v/>
      </c>
    </row>
    <row r="90">
      <c r="A90" t="inlineStr">
        <is>
          <t>subject03</t>
        </is>
      </c>
      <c r="B90" t="n">
        <v>11</v>
      </c>
      <c r="C90" t="n">
        <v>100</v>
      </c>
      <c r="D90" t="n">
        <v>140</v>
      </c>
      <c r="E90" t="n">
        <v>1.3065</v>
      </c>
      <c r="F90" t="n">
        <v>78.39</v>
      </c>
      <c r="G90">
        <f>H90/60</f>
        <v/>
      </c>
      <c r="H90">
        <f>MEDIAN(I86,I87,I88,I89,I90,I91,I92,I93,I94)</f>
        <v/>
      </c>
      <c r="I90" t="n">
        <v>81</v>
      </c>
      <c r="J90">
        <f>H90-F90</f>
        <v/>
      </c>
      <c r="K90">
        <f>ABS(J90)</f>
        <v/>
      </c>
      <c r="L90">
        <f>K90/F90*100</f>
        <v/>
      </c>
    </row>
    <row r="91">
      <c r="A91" t="inlineStr">
        <is>
          <t>subject03</t>
        </is>
      </c>
      <c r="B91" t="n">
        <v>12</v>
      </c>
      <c r="C91" t="n">
        <v>110</v>
      </c>
      <c r="D91" t="n">
        <v>150</v>
      </c>
      <c r="E91" t="n">
        <v>1.3126</v>
      </c>
      <c r="F91" t="n">
        <v>78.75</v>
      </c>
      <c r="G91">
        <f>H91/60</f>
        <v/>
      </c>
      <c r="H91">
        <f>MEDIAN(I87,I88,I89,I90,I91,I92,I93,I94,I95)</f>
        <v/>
      </c>
      <c r="I91" t="n">
        <v>66</v>
      </c>
      <c r="J91">
        <f>H91-F91</f>
        <v/>
      </c>
      <c r="K91">
        <f>ABS(J91)</f>
        <v/>
      </c>
      <c r="L91">
        <f>K91/F91*100</f>
        <v/>
      </c>
    </row>
    <row r="92">
      <c r="A92" t="inlineStr">
        <is>
          <t>subject03</t>
        </is>
      </c>
      <c r="B92" t="n">
        <v>13</v>
      </c>
      <c r="C92" t="n">
        <v>120</v>
      </c>
      <c r="D92" t="n">
        <v>160</v>
      </c>
      <c r="E92" t="n">
        <v>1.3047</v>
      </c>
      <c r="F92" t="n">
        <v>78.28</v>
      </c>
      <c r="G92">
        <f>H92/60</f>
        <v/>
      </c>
      <c r="H92">
        <f>MEDIAN(I88,I89,I90,I91,I92,I93,I94,I95,I96)</f>
        <v/>
      </c>
      <c r="I92" t="n">
        <v>79.5</v>
      </c>
      <c r="J92">
        <f>H92-F92</f>
        <v/>
      </c>
      <c r="K92">
        <f>ABS(J92)</f>
        <v/>
      </c>
      <c r="L92">
        <f>K92/F92*100</f>
        <v/>
      </c>
    </row>
    <row r="93">
      <c r="A93" t="inlineStr">
        <is>
          <t>subject03</t>
        </is>
      </c>
      <c r="B93" t="n">
        <v>14</v>
      </c>
      <c r="C93" t="n">
        <v>130</v>
      </c>
      <c r="D93" t="n">
        <v>170</v>
      </c>
      <c r="E93" t="n">
        <v>1.3115</v>
      </c>
      <c r="F93" t="n">
        <v>78.69</v>
      </c>
      <c r="G93">
        <f>H93/60</f>
        <v/>
      </c>
      <c r="H93">
        <f>MEDIAN(I89,I90,I91,I92,I93,I94,I95,I96,I97)</f>
        <v/>
      </c>
      <c r="I93" t="n">
        <v>79.5</v>
      </c>
      <c r="J93">
        <f>H93-F93</f>
        <v/>
      </c>
      <c r="K93">
        <f>ABS(J93)</f>
        <v/>
      </c>
      <c r="L93">
        <f>K93/F93*100</f>
        <v/>
      </c>
    </row>
    <row r="94">
      <c r="A94" t="inlineStr">
        <is>
          <t>subject03</t>
        </is>
      </c>
      <c r="B94" t="n">
        <v>15</v>
      </c>
      <c r="C94" t="n">
        <v>140</v>
      </c>
      <c r="D94" t="n">
        <v>180</v>
      </c>
      <c r="E94" t="n">
        <v>1.3212</v>
      </c>
      <c r="F94" t="n">
        <v>79.27</v>
      </c>
      <c r="G94">
        <f>H94/60</f>
        <v/>
      </c>
      <c r="H94">
        <f>MEDIAN(I90,I91,I92,I93,I94,I95,I96,I97,I98)</f>
        <v/>
      </c>
      <c r="I94" t="n">
        <v>87</v>
      </c>
      <c r="J94">
        <f>H94-F94</f>
        <v/>
      </c>
      <c r="K94">
        <f>ABS(J94)</f>
        <v/>
      </c>
      <c r="L94">
        <f>K94/F94*100</f>
        <v/>
      </c>
    </row>
    <row r="95">
      <c r="A95" t="inlineStr">
        <is>
          <t>subject03</t>
        </is>
      </c>
      <c r="B95" t="n">
        <v>16</v>
      </c>
      <c r="C95" t="n">
        <v>150</v>
      </c>
      <c r="D95" t="n">
        <v>190</v>
      </c>
      <c r="E95" t="n">
        <v>1.3241</v>
      </c>
      <c r="F95" t="n">
        <v>79.45</v>
      </c>
      <c r="G95">
        <f>H95/60</f>
        <v/>
      </c>
      <c r="H95">
        <f>MEDIAN(I91,I92,I93,I94,I95,I96,I97,I98,I99)</f>
        <v/>
      </c>
      <c r="I95" t="n">
        <v>99</v>
      </c>
      <c r="J95">
        <f>H95-F95</f>
        <v/>
      </c>
      <c r="K95">
        <f>ABS(J95)</f>
        <v/>
      </c>
      <c r="L95">
        <f>K95/F95*100</f>
        <v/>
      </c>
    </row>
    <row r="96">
      <c r="A96" t="inlineStr">
        <is>
          <t>subject03</t>
        </is>
      </c>
      <c r="B96" t="n">
        <v>17</v>
      </c>
      <c r="C96" t="n">
        <v>160</v>
      </c>
      <c r="D96" t="n">
        <v>200</v>
      </c>
      <c r="E96" t="n">
        <v>1.3194</v>
      </c>
      <c r="F96" t="n">
        <v>79.16</v>
      </c>
      <c r="G96">
        <f>H96/60</f>
        <v/>
      </c>
      <c r="H96">
        <f>MEDIAN(I92,I93,I94,I95,I96,I97,I98,I99,I100)</f>
        <v/>
      </c>
      <c r="I96" t="n">
        <v>79.5</v>
      </c>
      <c r="J96">
        <f>H96-F96</f>
        <v/>
      </c>
      <c r="K96">
        <f>ABS(J96)</f>
        <v/>
      </c>
      <c r="L96">
        <f>K96/F96*100</f>
        <v/>
      </c>
    </row>
    <row r="97">
      <c r="A97" t="inlineStr">
        <is>
          <t>subject03</t>
        </is>
      </c>
      <c r="B97" t="n">
        <v>18</v>
      </c>
      <c r="C97" t="n">
        <v>170</v>
      </c>
      <c r="D97" t="n">
        <v>210</v>
      </c>
      <c r="E97" t="n">
        <v>1.3126</v>
      </c>
      <c r="F97" t="n">
        <v>78.76000000000001</v>
      </c>
      <c r="G97">
        <f>H97/60</f>
        <v/>
      </c>
      <c r="H97">
        <f>MEDIAN(I93,I94,I95,I96,I97,I98,I99,I100,I101)</f>
        <v/>
      </c>
      <c r="I97" t="n">
        <v>79.5</v>
      </c>
      <c r="J97">
        <f>H97-F97</f>
        <v/>
      </c>
      <c r="K97">
        <f>ABS(J97)</f>
        <v/>
      </c>
      <c r="L97">
        <f>K97/F97*100</f>
        <v/>
      </c>
    </row>
    <row r="98">
      <c r="A98" t="inlineStr">
        <is>
          <t>subject03</t>
        </is>
      </c>
      <c r="B98" t="n">
        <v>19</v>
      </c>
      <c r="C98" t="n">
        <v>180</v>
      </c>
      <c r="D98" t="n">
        <v>220</v>
      </c>
      <c r="E98" t="n">
        <v>1.3042</v>
      </c>
      <c r="F98" t="n">
        <v>78.25</v>
      </c>
      <c r="G98">
        <f>H98/60</f>
        <v/>
      </c>
      <c r="H98">
        <f>MEDIAN(I94,I95,I96,I97,I98,I99,I100,I101,I102)</f>
        <v/>
      </c>
      <c r="I98" t="n">
        <v>99</v>
      </c>
      <c r="J98">
        <f>H98-F98</f>
        <v/>
      </c>
      <c r="K98">
        <f>ABS(J98)</f>
        <v/>
      </c>
      <c r="L98">
        <f>K98/F98*100</f>
        <v/>
      </c>
    </row>
    <row r="99">
      <c r="A99" t="inlineStr">
        <is>
          <t>subject03</t>
        </is>
      </c>
      <c r="B99" t="n">
        <v>20</v>
      </c>
      <c r="C99" t="n">
        <v>190</v>
      </c>
      <c r="D99" t="n">
        <v>230</v>
      </c>
      <c r="E99" t="n">
        <v>1.2967</v>
      </c>
      <c r="F99" t="n">
        <v>77.8</v>
      </c>
      <c r="G99">
        <f>H99/60</f>
        <v/>
      </c>
      <c r="H99">
        <f>MEDIAN(I95,I96,I97,I98,I99,I100,I101,I102,I103)</f>
        <v/>
      </c>
      <c r="I99" t="n">
        <v>60</v>
      </c>
      <c r="J99">
        <f>H99-F99</f>
        <v/>
      </c>
      <c r="K99">
        <f>ABS(J99)</f>
        <v/>
      </c>
      <c r="L99">
        <f>K99/F99*100</f>
        <v/>
      </c>
    </row>
    <row r="100">
      <c r="A100" t="inlineStr">
        <is>
          <t>subject03</t>
        </is>
      </c>
      <c r="B100" t="n">
        <v>21</v>
      </c>
      <c r="C100" t="n">
        <v>200</v>
      </c>
      <c r="D100" t="n">
        <v>240</v>
      </c>
      <c r="E100" t="n">
        <v>1.2938</v>
      </c>
      <c r="F100" t="n">
        <v>77.63</v>
      </c>
      <c r="G100">
        <f>H100/60</f>
        <v/>
      </c>
      <c r="H100">
        <f>MEDIAN(I96,I97,I98,I99,I100,I101,I102,I103,I104)</f>
        <v/>
      </c>
      <c r="I100" t="n">
        <v>90</v>
      </c>
      <c r="J100">
        <f>H100-F100</f>
        <v/>
      </c>
      <c r="K100">
        <f>ABS(J100)</f>
        <v/>
      </c>
      <c r="L100">
        <f>K100/F100*100</f>
        <v/>
      </c>
    </row>
    <row r="101">
      <c r="A101" t="inlineStr">
        <is>
          <t>subject03</t>
        </is>
      </c>
      <c r="B101" t="n">
        <v>22</v>
      </c>
      <c r="C101" t="n">
        <v>210</v>
      </c>
      <c r="D101" t="n">
        <v>250</v>
      </c>
      <c r="E101" t="n">
        <v>1.3042</v>
      </c>
      <c r="F101" t="n">
        <v>78.25</v>
      </c>
      <c r="G101">
        <f>H101/60</f>
        <v/>
      </c>
      <c r="H101">
        <f>MEDIAN(I97,I98,I99,I100,I101,I102,I103,I104,I105)</f>
        <v/>
      </c>
      <c r="I101" t="n">
        <v>58.5</v>
      </c>
      <c r="J101">
        <f>H101-F101</f>
        <v/>
      </c>
      <c r="K101">
        <f>ABS(J101)</f>
        <v/>
      </c>
      <c r="L101">
        <f>K101/F101*100</f>
        <v/>
      </c>
    </row>
    <row r="102">
      <c r="A102" t="inlineStr">
        <is>
          <t>subject03</t>
        </is>
      </c>
      <c r="B102" t="n">
        <v>23</v>
      </c>
      <c r="C102" t="n">
        <v>220</v>
      </c>
      <c r="D102" t="n">
        <v>260</v>
      </c>
      <c r="E102" t="n">
        <v>1.3093</v>
      </c>
      <c r="F102" t="n">
        <v>78.56</v>
      </c>
      <c r="G102">
        <f>H102/60</f>
        <v/>
      </c>
      <c r="H102">
        <f>MEDIAN(I98,I99,I100,I101,I102,I103,I104,I105,I106)</f>
        <v/>
      </c>
      <c r="I102" t="n">
        <v>58.5</v>
      </c>
      <c r="J102">
        <f>H102-F102</f>
        <v/>
      </c>
      <c r="K102">
        <f>ABS(J102)</f>
        <v/>
      </c>
      <c r="L102">
        <f>K102/F102*100</f>
        <v/>
      </c>
    </row>
    <row r="103">
      <c r="A103" t="inlineStr">
        <is>
          <t>subject03</t>
        </is>
      </c>
      <c r="B103" t="n">
        <v>24</v>
      </c>
      <c r="C103" t="n">
        <v>230</v>
      </c>
      <c r="D103" t="n">
        <v>270</v>
      </c>
      <c r="E103" t="n">
        <v>1.3209</v>
      </c>
      <c r="F103" t="n">
        <v>79.25</v>
      </c>
      <c r="G103">
        <f>H103/60</f>
        <v/>
      </c>
      <c r="H103">
        <f>MEDIAN(I99,I100,I101,I102,I103,I104,I105,I106,I107)</f>
        <v/>
      </c>
      <c r="I103" t="n">
        <v>84</v>
      </c>
      <c r="J103">
        <f>H103-F103</f>
        <v/>
      </c>
      <c r="K103">
        <f>ABS(J103)</f>
        <v/>
      </c>
      <c r="L103">
        <f>K103/F103*100</f>
        <v/>
      </c>
    </row>
    <row r="104">
      <c r="A104" t="inlineStr">
        <is>
          <t>subject03</t>
        </is>
      </c>
      <c r="B104" t="n">
        <v>25</v>
      </c>
      <c r="C104" t="n">
        <v>240</v>
      </c>
      <c r="D104" t="n">
        <v>280</v>
      </c>
      <c r="E104" t="n">
        <v>1.3321</v>
      </c>
      <c r="F104" t="n">
        <v>79.93000000000001</v>
      </c>
      <c r="G104">
        <f>H104/60</f>
        <v/>
      </c>
      <c r="H104">
        <f>MEDIAN(I100,I101,I102,I103,I104,I105,I106,I107,I108)</f>
        <v/>
      </c>
      <c r="I104" t="n">
        <v>97.5</v>
      </c>
      <c r="J104">
        <f>H104-F104</f>
        <v/>
      </c>
      <c r="K104">
        <f>ABS(J104)</f>
        <v/>
      </c>
      <c r="L104">
        <f>K104/F104*100</f>
        <v/>
      </c>
    </row>
    <row r="105">
      <c r="A105" t="inlineStr">
        <is>
          <t>subject03</t>
        </is>
      </c>
      <c r="B105" t="n">
        <v>26</v>
      </c>
      <c r="C105" t="n">
        <v>250</v>
      </c>
      <c r="D105" t="n">
        <v>290</v>
      </c>
      <c r="E105" t="n">
        <v>1.3255</v>
      </c>
      <c r="F105" t="n">
        <v>79.53</v>
      </c>
      <c r="G105">
        <f>H105/60</f>
        <v/>
      </c>
      <c r="H105">
        <f>MEDIAN(I101,I102,I103,I104,I105,I106,I107,I108,I109)</f>
        <v/>
      </c>
      <c r="I105" t="n">
        <v>61.5</v>
      </c>
      <c r="J105">
        <f>H105-F105</f>
        <v/>
      </c>
      <c r="K105">
        <f>ABS(J105)</f>
        <v/>
      </c>
      <c r="L105">
        <f>K105/F105*100</f>
        <v/>
      </c>
    </row>
    <row r="106">
      <c r="A106" t="inlineStr">
        <is>
          <t>subject03</t>
        </is>
      </c>
      <c r="B106" t="n">
        <v>27</v>
      </c>
      <c r="C106" t="n">
        <v>260</v>
      </c>
      <c r="D106" t="n">
        <v>300</v>
      </c>
      <c r="E106" t="n">
        <v>1.3264</v>
      </c>
      <c r="F106" t="n">
        <v>79.58</v>
      </c>
      <c r="G106">
        <f>H106/60</f>
        <v/>
      </c>
      <c r="H106">
        <f>MEDIAN(I102,I103,I104,I105,I106,I107,I108,I109,I110)</f>
        <v/>
      </c>
      <c r="I106" t="n">
        <v>63</v>
      </c>
      <c r="J106">
        <f>H106-F106</f>
        <v/>
      </c>
      <c r="K106">
        <f>ABS(J106)</f>
        <v/>
      </c>
      <c r="L106">
        <f>K106/F106*100</f>
        <v/>
      </c>
    </row>
    <row r="107">
      <c r="A107" t="inlineStr">
        <is>
          <t>subject03</t>
        </is>
      </c>
      <c r="B107" t="n">
        <v>28</v>
      </c>
      <c r="C107" t="n">
        <v>270</v>
      </c>
      <c r="D107" t="n">
        <v>310</v>
      </c>
      <c r="E107" t="n">
        <v>1.3211</v>
      </c>
      <c r="F107" t="n">
        <v>79.26000000000001</v>
      </c>
      <c r="G107">
        <f>H107/60</f>
        <v/>
      </c>
      <c r="H107">
        <f>MEDIAN(I103,I104,I105,I106,I107,I108,I109,I110,I111)</f>
        <v/>
      </c>
      <c r="I107" t="n">
        <v>79.5</v>
      </c>
      <c r="J107">
        <f>H107-F107</f>
        <v/>
      </c>
      <c r="K107">
        <f>ABS(J107)</f>
        <v/>
      </c>
      <c r="L107">
        <f>K107/F107*100</f>
        <v/>
      </c>
    </row>
    <row r="108">
      <c r="A108" t="inlineStr">
        <is>
          <t>subject03</t>
        </is>
      </c>
      <c r="B108" t="n">
        <v>29</v>
      </c>
      <c r="C108" t="n">
        <v>280</v>
      </c>
      <c r="D108" t="n">
        <v>320</v>
      </c>
      <c r="E108" t="n">
        <v>1.3115</v>
      </c>
      <c r="F108" t="n">
        <v>78.69</v>
      </c>
      <c r="G108">
        <f>H108/60</f>
        <v/>
      </c>
      <c r="H108">
        <f>MEDIAN(I104,I105,I106,I107,I108,I109,I110,I111,I112)</f>
        <v/>
      </c>
      <c r="I108" t="n">
        <v>76.5</v>
      </c>
      <c r="J108">
        <f>H108-F108</f>
        <v/>
      </c>
      <c r="K108">
        <f>ABS(J108)</f>
        <v/>
      </c>
      <c r="L108">
        <f>K108/F108*100</f>
        <v/>
      </c>
    </row>
    <row r="109">
      <c r="A109" t="inlineStr">
        <is>
          <t>subject03</t>
        </is>
      </c>
      <c r="B109" t="n">
        <v>30</v>
      </c>
      <c r="C109" t="n">
        <v>290</v>
      </c>
      <c r="D109" t="n">
        <v>330</v>
      </c>
      <c r="E109" t="n">
        <v>1.3091</v>
      </c>
      <c r="F109" t="n">
        <v>78.55</v>
      </c>
      <c r="G109">
        <f>H109/60</f>
        <v/>
      </c>
      <c r="H109">
        <f>MEDIAN(I105,I106,I107,I108,I109,I110,I111,I112,I113)</f>
        <v/>
      </c>
      <c r="I109" t="n">
        <v>87</v>
      </c>
      <c r="J109">
        <f>H109-F109</f>
        <v/>
      </c>
      <c r="K109">
        <f>ABS(J109)</f>
        <v/>
      </c>
      <c r="L109">
        <f>K109/F109*100</f>
        <v/>
      </c>
    </row>
    <row r="110">
      <c r="A110" t="inlineStr">
        <is>
          <t>subject03</t>
        </is>
      </c>
      <c r="B110" t="n">
        <v>31</v>
      </c>
      <c r="C110" t="n">
        <v>300</v>
      </c>
      <c r="D110" t="n">
        <v>340</v>
      </c>
      <c r="E110" t="n">
        <v>1.2999</v>
      </c>
      <c r="F110" t="n">
        <v>77.98999999999999</v>
      </c>
      <c r="G110">
        <f>H110/60</f>
        <v/>
      </c>
      <c r="H110">
        <f>MEDIAN(I106,I107,I108,I109,I110,I111,I112,I113,I114)</f>
        <v/>
      </c>
      <c r="I110" t="n">
        <v>90</v>
      </c>
      <c r="J110">
        <f>H110-F110</f>
        <v/>
      </c>
      <c r="K110">
        <f>ABS(J110)</f>
        <v/>
      </c>
      <c r="L110">
        <f>K110/F110*100</f>
        <v/>
      </c>
    </row>
    <row r="111">
      <c r="A111" t="inlineStr">
        <is>
          <t>subject03</t>
        </is>
      </c>
      <c r="B111" t="n">
        <v>32</v>
      </c>
      <c r="C111" t="n">
        <v>310</v>
      </c>
      <c r="D111" t="n">
        <v>350</v>
      </c>
      <c r="E111" t="n">
        <v>1.2952</v>
      </c>
      <c r="F111" t="n">
        <v>77.70999999999999</v>
      </c>
      <c r="G111">
        <f>H111/60</f>
        <v/>
      </c>
      <c r="H111">
        <f>MEDIAN(I107,I108,I109,I110,I111,I112,I113,I114,I115)</f>
        <v/>
      </c>
      <c r="I111" t="n">
        <v>103.5</v>
      </c>
      <c r="J111">
        <f>H111-F111</f>
        <v/>
      </c>
      <c r="K111">
        <f>ABS(J111)</f>
        <v/>
      </c>
      <c r="L111">
        <f>K111/F111*100</f>
        <v/>
      </c>
    </row>
    <row r="112">
      <c r="A112" t="inlineStr">
        <is>
          <t>subject03</t>
        </is>
      </c>
      <c r="B112" t="n">
        <v>33</v>
      </c>
      <c r="C112" t="n">
        <v>320</v>
      </c>
      <c r="D112" t="n">
        <v>360</v>
      </c>
      <c r="E112" t="n">
        <v>1.3011</v>
      </c>
      <c r="F112" t="n">
        <v>78.06</v>
      </c>
      <c r="G112">
        <f>H112/60</f>
        <v/>
      </c>
      <c r="H112">
        <f>MEDIAN(I108,I109,I110,I111,I112,I113,I114,I115,I116)</f>
        <v/>
      </c>
      <c r="I112" t="n">
        <v>94.5</v>
      </c>
      <c r="J112">
        <f>H112-F112</f>
        <v/>
      </c>
      <c r="K112">
        <f>ABS(J112)</f>
        <v/>
      </c>
      <c r="L112">
        <f>K112/F112*100</f>
        <v/>
      </c>
    </row>
    <row r="113">
      <c r="A113" t="inlineStr">
        <is>
          <t>subject03</t>
        </is>
      </c>
      <c r="B113" t="n">
        <v>34</v>
      </c>
      <c r="C113" t="n">
        <v>330</v>
      </c>
      <c r="D113" t="n">
        <v>370</v>
      </c>
      <c r="E113" t="n">
        <v>1.3077</v>
      </c>
      <c r="F113" t="n">
        <v>78.45999999999999</v>
      </c>
      <c r="G113">
        <f>H113/60</f>
        <v/>
      </c>
      <c r="H113">
        <f>MEDIAN(I109,I110,I111,I112,I113,I114,I115,I116,I117)</f>
        <v/>
      </c>
      <c r="I113" t="n">
        <v>94.5</v>
      </c>
      <c r="J113">
        <f>H113-F113</f>
        <v/>
      </c>
      <c r="K113">
        <f>ABS(J113)</f>
        <v/>
      </c>
      <c r="L113">
        <f>K113/F113*100</f>
        <v/>
      </c>
    </row>
    <row r="114">
      <c r="A114" t="inlineStr">
        <is>
          <t>subject03</t>
        </is>
      </c>
      <c r="B114" t="n">
        <v>35</v>
      </c>
      <c r="C114" t="n">
        <v>340</v>
      </c>
      <c r="D114" t="n">
        <v>380</v>
      </c>
      <c r="E114" t="n">
        <v>1.3199</v>
      </c>
      <c r="F114" t="n">
        <v>79.2</v>
      </c>
      <c r="G114">
        <f>H114/60</f>
        <v/>
      </c>
      <c r="H114">
        <f>MEDIAN(I110,I111,I112,I113,I114,I115,I116,I117,I118)</f>
        <v/>
      </c>
      <c r="I114" t="n">
        <v>94.5</v>
      </c>
      <c r="J114">
        <f>H114-F114</f>
        <v/>
      </c>
      <c r="K114">
        <f>ABS(J114)</f>
        <v/>
      </c>
      <c r="L114">
        <f>K114/F114*100</f>
        <v/>
      </c>
    </row>
    <row r="115">
      <c r="A115" t="inlineStr">
        <is>
          <t>subject03</t>
        </is>
      </c>
      <c r="B115" t="n">
        <v>36</v>
      </c>
      <c r="C115" t="n">
        <v>350</v>
      </c>
      <c r="D115" t="n">
        <v>390</v>
      </c>
      <c r="E115" t="n">
        <v>1.322</v>
      </c>
      <c r="F115" t="n">
        <v>79.31999999999999</v>
      </c>
      <c r="G115">
        <f>H115/60</f>
        <v/>
      </c>
      <c r="H115">
        <f>MEDIAN(I111,I112,I113,I114,I115,I116,I117,I118,0)</f>
        <v/>
      </c>
      <c r="I115" t="n">
        <v>69</v>
      </c>
      <c r="J115">
        <f>H115-F115</f>
        <v/>
      </c>
      <c r="K115">
        <f>ABS(J115)</f>
        <v/>
      </c>
      <c r="L115">
        <f>K115/F115*100</f>
        <v/>
      </c>
    </row>
    <row r="116">
      <c r="A116" t="inlineStr">
        <is>
          <t>subject03</t>
        </is>
      </c>
      <c r="B116" t="n">
        <v>37</v>
      </c>
      <c r="C116" t="n">
        <v>360</v>
      </c>
      <c r="D116" t="n">
        <v>400</v>
      </c>
      <c r="E116" t="n">
        <v>1.3087</v>
      </c>
      <c r="F116" t="n">
        <v>78.52</v>
      </c>
      <c r="G116">
        <f>H116/60</f>
        <v/>
      </c>
      <c r="H116">
        <f>MEDIAN(I112,I113,I114,I115,I116,I117,I118,0,0)</f>
        <v/>
      </c>
      <c r="I116" t="n">
        <v>61.5</v>
      </c>
      <c r="J116">
        <f>H116-F116</f>
        <v/>
      </c>
      <c r="K116">
        <f>ABS(J116)</f>
        <v/>
      </c>
      <c r="L116">
        <f>K116/F116*100</f>
        <v/>
      </c>
    </row>
    <row r="117">
      <c r="A117" t="inlineStr">
        <is>
          <t>subject03</t>
        </is>
      </c>
      <c r="B117" t="n">
        <v>38</v>
      </c>
      <c r="C117" t="n">
        <v>370</v>
      </c>
      <c r="D117" t="n">
        <v>410</v>
      </c>
      <c r="E117" t="n">
        <v>1.3027</v>
      </c>
      <c r="F117" t="n">
        <v>78.16</v>
      </c>
      <c r="G117">
        <f>H117/60</f>
        <v/>
      </c>
      <c r="H117">
        <f>MEDIAN(I113,I114,I115,I116,I117,I118,0,0,0)</f>
        <v/>
      </c>
      <c r="I117" t="n">
        <v>76.5</v>
      </c>
      <c r="J117">
        <f>H117-F117</f>
        <v/>
      </c>
      <c r="K117">
        <f>ABS(J117)</f>
        <v/>
      </c>
      <c r="L117">
        <f>K117/F117*100</f>
        <v/>
      </c>
    </row>
    <row r="118">
      <c r="A118" t="inlineStr">
        <is>
          <t>subject03</t>
        </is>
      </c>
      <c r="B118" t="n">
        <v>39</v>
      </c>
      <c r="C118" t="n">
        <v>380</v>
      </c>
      <c r="D118" t="n">
        <v>420</v>
      </c>
      <c r="E118" t="n">
        <v>1.292</v>
      </c>
      <c r="F118" t="n">
        <v>77.52</v>
      </c>
      <c r="G118">
        <f>H118/60</f>
        <v/>
      </c>
      <c r="H118">
        <f>MEDIAN(I114,I115,I116,I117,I118,0,0,0,0)</f>
        <v/>
      </c>
      <c r="I118" t="n">
        <v>76.5</v>
      </c>
      <c r="J118">
        <f>H118-F118</f>
        <v/>
      </c>
      <c r="K118">
        <f>ABS(J118)</f>
        <v/>
      </c>
      <c r="L118">
        <f>K118/F118*100</f>
        <v/>
      </c>
    </row>
    <row r="119">
      <c r="A119" t="inlineStr">
        <is>
          <t>subject04</t>
        </is>
      </c>
      <c r="B119" t="n">
        <v>1</v>
      </c>
      <c r="C119" t="n">
        <v>0</v>
      </c>
      <c r="D119" t="n">
        <v>40</v>
      </c>
      <c r="E119" t="n">
        <v>1.2164</v>
      </c>
      <c r="F119" t="n">
        <v>72.98</v>
      </c>
      <c r="G119">
        <f>H119/60</f>
        <v/>
      </c>
      <c r="H119">
        <f>MEDIAN(0,0,0,0,I119,I120,I121,I122,I123)</f>
        <v/>
      </c>
      <c r="I119" t="n">
        <v>58.5</v>
      </c>
      <c r="J119">
        <f>H119-F119</f>
        <v/>
      </c>
      <c r="K119">
        <f>ABS(J119)</f>
        <v/>
      </c>
      <c r="L119">
        <f>K119/F119*100</f>
        <v/>
      </c>
    </row>
    <row r="120">
      <c r="A120" t="inlineStr">
        <is>
          <t>subject04</t>
        </is>
      </c>
      <c r="B120" t="n">
        <v>2</v>
      </c>
      <c r="C120" t="n">
        <v>10</v>
      </c>
      <c r="D120" t="n">
        <v>50</v>
      </c>
      <c r="E120" t="n">
        <v>1.247</v>
      </c>
      <c r="F120" t="n">
        <v>74.81999999999999</v>
      </c>
      <c r="G120">
        <f>H120/60</f>
        <v/>
      </c>
      <c r="H120">
        <f>MEDIAN(0,0,0,I119,I120,I121,I122,I123,I124)</f>
        <v/>
      </c>
      <c r="I120" t="n">
        <v>91.5</v>
      </c>
      <c r="J120">
        <f>H120-F120</f>
        <v/>
      </c>
      <c r="K120">
        <f>ABS(J120)</f>
        <v/>
      </c>
      <c r="L120">
        <f>K120/F120*100</f>
        <v/>
      </c>
    </row>
    <row r="121">
      <c r="A121" t="inlineStr">
        <is>
          <t>subject04</t>
        </is>
      </c>
      <c r="B121" t="n">
        <v>3</v>
      </c>
      <c r="C121" t="n">
        <v>20</v>
      </c>
      <c r="D121" t="n">
        <v>60</v>
      </c>
      <c r="E121" t="n">
        <v>1.2642</v>
      </c>
      <c r="F121" t="n">
        <v>75.84999999999999</v>
      </c>
      <c r="G121">
        <f>H121/60</f>
        <v/>
      </c>
      <c r="H121">
        <f>MEDIAN(0,0,I119,I120,I121,I122,I123,I124,I125)</f>
        <v/>
      </c>
      <c r="I121" t="n">
        <v>60</v>
      </c>
      <c r="J121">
        <f>H121-F121</f>
        <v/>
      </c>
      <c r="K121">
        <f>ABS(J121)</f>
        <v/>
      </c>
      <c r="L121">
        <f>K121/F121*100</f>
        <v/>
      </c>
    </row>
    <row r="122">
      <c r="A122" t="inlineStr">
        <is>
          <t>subject04</t>
        </is>
      </c>
      <c r="B122" t="n">
        <v>4</v>
      </c>
      <c r="C122" t="n">
        <v>30</v>
      </c>
      <c r="D122" t="n">
        <v>70</v>
      </c>
      <c r="E122" t="n">
        <v>1.2525</v>
      </c>
      <c r="F122" t="n">
        <v>75.15000000000001</v>
      </c>
      <c r="G122">
        <f>H122/60</f>
        <v/>
      </c>
      <c r="H122">
        <f>MEDIAN(0,I119,I120,I121,I122,I123,I124,I125,I126)</f>
        <v/>
      </c>
      <c r="I122" t="n">
        <v>54</v>
      </c>
      <c r="J122">
        <f>H122-F122</f>
        <v/>
      </c>
      <c r="K122">
        <f>ABS(J122)</f>
        <v/>
      </c>
      <c r="L122">
        <f>K122/F122*100</f>
        <v/>
      </c>
    </row>
    <row r="123">
      <c r="A123" t="inlineStr">
        <is>
          <t>subject04</t>
        </is>
      </c>
      <c r="B123" t="n">
        <v>5</v>
      </c>
      <c r="C123" t="n">
        <v>40</v>
      </c>
      <c r="D123" t="n">
        <v>80</v>
      </c>
      <c r="E123" t="n">
        <v>1.2476</v>
      </c>
      <c r="F123" t="n">
        <v>74.84999999999999</v>
      </c>
      <c r="G123">
        <f>H123/60</f>
        <v/>
      </c>
      <c r="H123">
        <f>MEDIAN(I119,I120,I121,I122,I123,I124,I125,I126,I127)</f>
        <v/>
      </c>
      <c r="I123" t="n">
        <v>64.5</v>
      </c>
      <c r="J123">
        <f>H123-F123</f>
        <v/>
      </c>
      <c r="K123">
        <f>ABS(J123)</f>
        <v/>
      </c>
      <c r="L123">
        <f>K123/F123*100</f>
        <v/>
      </c>
    </row>
    <row r="124">
      <c r="A124" t="inlineStr">
        <is>
          <t>subject04</t>
        </is>
      </c>
      <c r="B124" t="n">
        <v>6</v>
      </c>
      <c r="C124" t="n">
        <v>50</v>
      </c>
      <c r="D124" t="n">
        <v>90</v>
      </c>
      <c r="E124" t="n">
        <v>1.2264</v>
      </c>
      <c r="F124" t="n">
        <v>73.59</v>
      </c>
      <c r="G124">
        <f>H124/60</f>
        <v/>
      </c>
      <c r="H124">
        <f>MEDIAN(I120,I121,I122,I123,I124,I125,I126,I127,I128)</f>
        <v/>
      </c>
      <c r="I124" t="n">
        <v>63</v>
      </c>
      <c r="J124">
        <f>H124-F124</f>
        <v/>
      </c>
      <c r="K124">
        <f>ABS(J124)</f>
        <v/>
      </c>
      <c r="L124">
        <f>K124/F124*100</f>
        <v/>
      </c>
    </row>
    <row r="125">
      <c r="A125" t="inlineStr">
        <is>
          <t>subject04</t>
        </is>
      </c>
      <c r="B125" t="n">
        <v>7</v>
      </c>
      <c r="C125" t="n">
        <v>60</v>
      </c>
      <c r="D125" t="n">
        <v>100</v>
      </c>
      <c r="E125" t="n">
        <v>1.2102</v>
      </c>
      <c r="F125" t="n">
        <v>72.61</v>
      </c>
      <c r="G125">
        <f>H125/60</f>
        <v/>
      </c>
      <c r="H125">
        <f>MEDIAN(I121,I122,I123,I124,I125,I126,I127,I128,I129)</f>
        <v/>
      </c>
      <c r="I125" t="n">
        <v>73.5</v>
      </c>
      <c r="J125">
        <f>H125-F125</f>
        <v/>
      </c>
      <c r="K125">
        <f>ABS(J125)</f>
        <v/>
      </c>
      <c r="L125">
        <f>K125/F125*100</f>
        <v/>
      </c>
    </row>
    <row r="126">
      <c r="A126" t="inlineStr">
        <is>
          <t>subject04</t>
        </is>
      </c>
      <c r="B126" t="n">
        <v>8</v>
      </c>
      <c r="C126" t="n">
        <v>70</v>
      </c>
      <c r="D126" t="n">
        <v>110</v>
      </c>
      <c r="E126" t="n">
        <v>1.2209</v>
      </c>
      <c r="F126" t="n">
        <v>73.25</v>
      </c>
      <c r="G126">
        <f>H126/60</f>
        <v/>
      </c>
      <c r="H126">
        <f>MEDIAN(I122,I123,I124,I125,I126,I127,I128,I129,I130)</f>
        <v/>
      </c>
      <c r="I126" t="n">
        <v>73.5</v>
      </c>
      <c r="J126">
        <f>H126-F126</f>
        <v/>
      </c>
      <c r="K126">
        <f>ABS(J126)</f>
        <v/>
      </c>
      <c r="L126">
        <f>K126/F126*100</f>
        <v/>
      </c>
    </row>
    <row r="127">
      <c r="A127" t="inlineStr">
        <is>
          <t>subject04</t>
        </is>
      </c>
      <c r="B127" t="n">
        <v>9</v>
      </c>
      <c r="C127" t="n">
        <v>80</v>
      </c>
      <c r="D127" t="n">
        <v>120</v>
      </c>
      <c r="E127" t="n">
        <v>1.2191</v>
      </c>
      <c r="F127" t="n">
        <v>73.15000000000001</v>
      </c>
      <c r="G127">
        <f>H127/60</f>
        <v/>
      </c>
      <c r="H127">
        <f>MEDIAN(I123,I124,I125,I126,I127,I128,I129,I130,I131)</f>
        <v/>
      </c>
      <c r="I127" t="n">
        <v>115.5</v>
      </c>
      <c r="J127">
        <f>H127-F127</f>
        <v/>
      </c>
      <c r="K127">
        <f>ABS(J127)</f>
        <v/>
      </c>
      <c r="L127">
        <f>K127/F127*100</f>
        <v/>
      </c>
    </row>
    <row r="128">
      <c r="A128" t="inlineStr">
        <is>
          <t>subject04</t>
        </is>
      </c>
      <c r="B128" t="n">
        <v>10</v>
      </c>
      <c r="C128" t="n">
        <v>90</v>
      </c>
      <c r="D128" t="n">
        <v>130</v>
      </c>
      <c r="E128" t="n">
        <v>1.235</v>
      </c>
      <c r="F128" t="n">
        <v>74.09999999999999</v>
      </c>
      <c r="G128">
        <f>H128/60</f>
        <v/>
      </c>
      <c r="H128">
        <f>MEDIAN(I124,I125,I126,I127,I128,I129,I130,I131,I132)</f>
        <v/>
      </c>
      <c r="I128" t="n">
        <v>52.5</v>
      </c>
      <c r="J128">
        <f>H128-F128</f>
        <v/>
      </c>
      <c r="K128">
        <f>ABS(J128)</f>
        <v/>
      </c>
      <c r="L128">
        <f>K128/F128*100</f>
        <v/>
      </c>
    </row>
    <row r="129">
      <c r="A129" t="inlineStr">
        <is>
          <t>subject04</t>
        </is>
      </c>
      <c r="B129" t="n">
        <v>11</v>
      </c>
      <c r="C129" t="n">
        <v>100</v>
      </c>
      <c r="D129" t="n">
        <v>140</v>
      </c>
      <c r="E129" t="n">
        <v>1.2559</v>
      </c>
      <c r="F129" t="n">
        <v>75.34999999999999</v>
      </c>
      <c r="G129">
        <f>H129/60</f>
        <v/>
      </c>
      <c r="H129">
        <f>MEDIAN(I125,I126,I127,I128,I129,I130,I131,I132,I133)</f>
        <v/>
      </c>
      <c r="I129" t="n">
        <v>52.5</v>
      </c>
      <c r="J129">
        <f>H129-F129</f>
        <v/>
      </c>
      <c r="K129">
        <f>ABS(J129)</f>
        <v/>
      </c>
      <c r="L129">
        <f>K129/F129*100</f>
        <v/>
      </c>
    </row>
    <row r="130">
      <c r="A130" t="inlineStr">
        <is>
          <t>subject04</t>
        </is>
      </c>
      <c r="B130" t="n">
        <v>12</v>
      </c>
      <c r="C130" t="n">
        <v>110</v>
      </c>
      <c r="D130" t="n">
        <v>150</v>
      </c>
      <c r="E130" t="n">
        <v>1.2717</v>
      </c>
      <c r="F130" t="n">
        <v>76.3</v>
      </c>
      <c r="G130">
        <f>H130/60</f>
        <v/>
      </c>
      <c r="H130">
        <f>MEDIAN(I126,I127,I128,I129,I130,I131,I132,I133,I134)</f>
        <v/>
      </c>
      <c r="I130" t="n">
        <v>52.5</v>
      </c>
      <c r="J130">
        <f>H130-F130</f>
        <v/>
      </c>
      <c r="K130">
        <f>ABS(J130)</f>
        <v/>
      </c>
      <c r="L130">
        <f>K130/F130*100</f>
        <v/>
      </c>
    </row>
    <row r="131">
      <c r="A131" t="inlineStr">
        <is>
          <t>subject04</t>
        </is>
      </c>
      <c r="B131" t="n">
        <v>13</v>
      </c>
      <c r="C131" t="n">
        <v>120</v>
      </c>
      <c r="D131" t="n">
        <v>160</v>
      </c>
      <c r="E131" t="n">
        <v>1.2757</v>
      </c>
      <c r="F131" t="n">
        <v>76.54000000000001</v>
      </c>
      <c r="G131">
        <f>H131/60</f>
        <v/>
      </c>
      <c r="H131">
        <f>MEDIAN(I127,I128,I129,I130,I131,I132,I133,I134,I135)</f>
        <v/>
      </c>
      <c r="I131" t="n">
        <v>52.5</v>
      </c>
      <c r="J131">
        <f>H131-F131</f>
        <v/>
      </c>
      <c r="K131">
        <f>ABS(J131)</f>
        <v/>
      </c>
      <c r="L131">
        <f>K131/F131*100</f>
        <v/>
      </c>
    </row>
    <row r="132">
      <c r="A132" t="inlineStr">
        <is>
          <t>subject04</t>
        </is>
      </c>
      <c r="B132" t="n">
        <v>14</v>
      </c>
      <c r="C132" t="n">
        <v>130</v>
      </c>
      <c r="D132" t="n">
        <v>170</v>
      </c>
      <c r="E132" t="n">
        <v>1.277</v>
      </c>
      <c r="F132" t="n">
        <v>76.62</v>
      </c>
      <c r="G132">
        <f>H132/60</f>
        <v/>
      </c>
      <c r="H132">
        <f>MEDIAN(I128,I129,I130,I131,I132,I133,I134,I135,I136)</f>
        <v/>
      </c>
      <c r="I132" t="n">
        <v>52.5</v>
      </c>
      <c r="J132">
        <f>H132-F132</f>
        <v/>
      </c>
      <c r="K132">
        <f>ABS(J132)</f>
        <v/>
      </c>
      <c r="L132">
        <f>K132/F132*100</f>
        <v/>
      </c>
    </row>
    <row r="133">
      <c r="A133" t="inlineStr">
        <is>
          <t>subject04</t>
        </is>
      </c>
      <c r="B133" t="n">
        <v>15</v>
      </c>
      <c r="C133" t="n">
        <v>140</v>
      </c>
      <c r="D133" t="n">
        <v>180</v>
      </c>
      <c r="E133" t="n">
        <v>1.2651</v>
      </c>
      <c r="F133" t="n">
        <v>75.91</v>
      </c>
      <c r="G133">
        <f>H133/60</f>
        <v/>
      </c>
      <c r="H133">
        <f>MEDIAN(I129,I130,I131,I132,I133,I134,I135,I136,I137)</f>
        <v/>
      </c>
      <c r="I133" t="n">
        <v>54</v>
      </c>
      <c r="J133">
        <f>H133-F133</f>
        <v/>
      </c>
      <c r="K133">
        <f>ABS(J133)</f>
        <v/>
      </c>
      <c r="L133">
        <f>K133/F133*100</f>
        <v/>
      </c>
    </row>
    <row r="134">
      <c r="A134" t="inlineStr">
        <is>
          <t>subject04</t>
        </is>
      </c>
      <c r="B134" t="n">
        <v>16</v>
      </c>
      <c r="C134" t="n">
        <v>150</v>
      </c>
      <c r="D134" t="n">
        <v>190</v>
      </c>
      <c r="E134" t="n">
        <v>1.2495</v>
      </c>
      <c r="F134" t="n">
        <v>74.97</v>
      </c>
      <c r="G134">
        <f>H134/60</f>
        <v/>
      </c>
      <c r="H134">
        <f>MEDIAN(I130,I131,I132,I133,I134,I135,I136,I137,I138)</f>
        <v/>
      </c>
      <c r="I134" t="n">
        <v>70.5</v>
      </c>
      <c r="J134">
        <f>H134-F134</f>
        <v/>
      </c>
      <c r="K134">
        <f>ABS(J134)</f>
        <v/>
      </c>
      <c r="L134">
        <f>K134/F134*100</f>
        <v/>
      </c>
    </row>
    <row r="135">
      <c r="A135" t="inlineStr">
        <is>
          <t>subject04</t>
        </is>
      </c>
      <c r="B135" t="n">
        <v>17</v>
      </c>
      <c r="C135" t="n">
        <v>160</v>
      </c>
      <c r="D135" t="n">
        <v>200</v>
      </c>
      <c r="E135" t="n">
        <v>1.2484</v>
      </c>
      <c r="F135" t="n">
        <v>74.91</v>
      </c>
      <c r="G135">
        <f>H135/60</f>
        <v/>
      </c>
      <c r="H135">
        <f>MEDIAN(I131,I132,I133,I134,I135,I136,I137,I138,I139)</f>
        <v/>
      </c>
      <c r="I135" t="n">
        <v>75</v>
      </c>
      <c r="J135">
        <f>H135-F135</f>
        <v/>
      </c>
      <c r="K135">
        <f>ABS(J135)</f>
        <v/>
      </c>
      <c r="L135">
        <f>K135/F135*100</f>
        <v/>
      </c>
    </row>
    <row r="136">
      <c r="A136" t="inlineStr">
        <is>
          <t>subject04</t>
        </is>
      </c>
      <c r="B136" t="n">
        <v>18</v>
      </c>
      <c r="C136" t="n">
        <v>170</v>
      </c>
      <c r="D136" t="n">
        <v>210</v>
      </c>
      <c r="E136" t="n">
        <v>1.2399</v>
      </c>
      <c r="F136" t="n">
        <v>74.39</v>
      </c>
      <c r="G136">
        <f>H136/60</f>
        <v/>
      </c>
      <c r="H136">
        <f>MEDIAN(I132,I133,I134,I135,I136,I137,I138,I139,I140)</f>
        <v/>
      </c>
      <c r="I136" t="n">
        <v>75</v>
      </c>
      <c r="J136">
        <f>H136-F136</f>
        <v/>
      </c>
      <c r="K136">
        <f>ABS(J136)</f>
        <v/>
      </c>
      <c r="L136">
        <f>K136/F136*100</f>
        <v/>
      </c>
    </row>
    <row r="137">
      <c r="A137" t="inlineStr">
        <is>
          <t>subject04</t>
        </is>
      </c>
      <c r="B137" t="n">
        <v>19</v>
      </c>
      <c r="C137" t="n">
        <v>180</v>
      </c>
      <c r="D137" t="n">
        <v>220</v>
      </c>
      <c r="E137" t="n">
        <v>1.2566</v>
      </c>
      <c r="F137" t="n">
        <v>75.40000000000001</v>
      </c>
      <c r="G137">
        <f>H137/60</f>
        <v/>
      </c>
      <c r="H137">
        <f>MEDIAN(I133,I134,I135,I136,I137,I138,I139,I140,I141)</f>
        <v/>
      </c>
      <c r="I137" t="n">
        <v>75</v>
      </c>
      <c r="J137">
        <f>H137-F137</f>
        <v/>
      </c>
      <c r="K137">
        <f>ABS(J137)</f>
        <v/>
      </c>
      <c r="L137">
        <f>K137/F137*100</f>
        <v/>
      </c>
    </row>
    <row r="138">
      <c r="A138" t="inlineStr">
        <is>
          <t>subject04</t>
        </is>
      </c>
      <c r="B138" t="n">
        <v>20</v>
      </c>
      <c r="C138" t="n">
        <v>190</v>
      </c>
      <c r="D138" t="n">
        <v>230</v>
      </c>
      <c r="E138" t="n">
        <v>1.2611</v>
      </c>
      <c r="F138" t="n">
        <v>75.67</v>
      </c>
      <c r="G138">
        <f>H138/60</f>
        <v/>
      </c>
      <c r="H138">
        <f>MEDIAN(I134,I135,I136,I137,I138,I139,I140,I141,I142)</f>
        <v/>
      </c>
      <c r="I138" t="n">
        <v>100.5</v>
      </c>
      <c r="J138">
        <f>H138-F138</f>
        <v/>
      </c>
      <c r="K138">
        <f>ABS(J138)</f>
        <v/>
      </c>
      <c r="L138">
        <f>K138/F138*100</f>
        <v/>
      </c>
    </row>
    <row r="139">
      <c r="A139" t="inlineStr">
        <is>
          <t>subject04</t>
        </is>
      </c>
      <c r="B139" t="n">
        <v>21</v>
      </c>
      <c r="C139" t="n">
        <v>200</v>
      </c>
      <c r="D139" t="n">
        <v>240</v>
      </c>
      <c r="E139" t="n">
        <v>1.2545</v>
      </c>
      <c r="F139" t="n">
        <v>75.27</v>
      </c>
      <c r="G139">
        <f>H139/60</f>
        <v/>
      </c>
      <c r="H139">
        <f>MEDIAN(I135,I136,I137,I138,I139,I140,I141,I142,I143)</f>
        <v/>
      </c>
      <c r="I139" t="n">
        <v>100.5</v>
      </c>
      <c r="J139">
        <f>H139-F139</f>
        <v/>
      </c>
      <c r="K139">
        <f>ABS(J139)</f>
        <v/>
      </c>
      <c r="L139">
        <f>K139/F139*100</f>
        <v/>
      </c>
    </row>
    <row r="140">
      <c r="A140" t="inlineStr">
        <is>
          <t>subject04</t>
        </is>
      </c>
      <c r="B140" t="n">
        <v>22</v>
      </c>
      <c r="C140" t="n">
        <v>210</v>
      </c>
      <c r="D140" t="n">
        <v>250</v>
      </c>
      <c r="E140" t="n">
        <v>1.2606</v>
      </c>
      <c r="F140" t="n">
        <v>75.64</v>
      </c>
      <c r="G140">
        <f>H140/60</f>
        <v/>
      </c>
      <c r="H140">
        <f>MEDIAN(I136,I137,I138,I139,I140,I141,I142,I143,I144)</f>
        <v/>
      </c>
      <c r="I140" t="n">
        <v>58.5</v>
      </c>
      <c r="J140">
        <f>H140-F140</f>
        <v/>
      </c>
      <c r="K140">
        <f>ABS(J140)</f>
        <v/>
      </c>
      <c r="L140">
        <f>K140/F140*100</f>
        <v/>
      </c>
    </row>
    <row r="141">
      <c r="A141" t="inlineStr">
        <is>
          <t>subject04</t>
        </is>
      </c>
      <c r="B141" t="n">
        <v>23</v>
      </c>
      <c r="C141" t="n">
        <v>220</v>
      </c>
      <c r="D141" t="n">
        <v>260</v>
      </c>
      <c r="E141" t="n">
        <v>1.2617</v>
      </c>
      <c r="F141" t="n">
        <v>75.7</v>
      </c>
      <c r="G141">
        <f>H141/60</f>
        <v/>
      </c>
      <c r="H141">
        <f>MEDIAN(I137,I138,I139,I140,I141,I142,I143,I144,I145)</f>
        <v/>
      </c>
      <c r="I141" t="n">
        <v>60</v>
      </c>
      <c r="J141">
        <f>H141-F141</f>
        <v/>
      </c>
      <c r="K141">
        <f>ABS(J141)</f>
        <v/>
      </c>
      <c r="L141">
        <f>K141/F141*100</f>
        <v/>
      </c>
    </row>
    <row r="142">
      <c r="A142" t="inlineStr">
        <is>
          <t>subject04</t>
        </is>
      </c>
      <c r="B142" t="n">
        <v>24</v>
      </c>
      <c r="C142" t="n">
        <v>230</v>
      </c>
      <c r="D142" t="n">
        <v>270</v>
      </c>
      <c r="E142" t="n">
        <v>1.2696</v>
      </c>
      <c r="F142" t="n">
        <v>76.18000000000001</v>
      </c>
      <c r="G142">
        <f>H142/60</f>
        <v/>
      </c>
      <c r="H142">
        <f>MEDIAN(I138,I139,I140,I141,I142,I143,I144,I145,I146)</f>
        <v/>
      </c>
      <c r="I142" t="n">
        <v>84</v>
      </c>
      <c r="J142">
        <f>H142-F142</f>
        <v/>
      </c>
      <c r="K142">
        <f>ABS(J142)</f>
        <v/>
      </c>
      <c r="L142">
        <f>K142/F142*100</f>
        <v/>
      </c>
    </row>
    <row r="143">
      <c r="A143" t="inlineStr">
        <is>
          <t>subject04</t>
        </is>
      </c>
      <c r="B143" t="n">
        <v>25</v>
      </c>
      <c r="C143" t="n">
        <v>240</v>
      </c>
      <c r="D143" t="n">
        <v>280</v>
      </c>
      <c r="E143" t="n">
        <v>1.283</v>
      </c>
      <c r="F143" t="n">
        <v>76.98</v>
      </c>
      <c r="G143">
        <f>H143/60</f>
        <v/>
      </c>
      <c r="H143">
        <f>MEDIAN(I139,I140,I141,I142,I143,I144,I145,I146,I147)</f>
        <v/>
      </c>
      <c r="I143" t="n">
        <v>52.5</v>
      </c>
      <c r="J143">
        <f>H143-F143</f>
        <v/>
      </c>
      <c r="K143">
        <f>ABS(J143)</f>
        <v/>
      </c>
      <c r="L143">
        <f>K143/F143*100</f>
        <v/>
      </c>
    </row>
    <row r="144">
      <c r="A144" t="inlineStr">
        <is>
          <t>subject04</t>
        </is>
      </c>
      <c r="B144" t="n">
        <v>26</v>
      </c>
      <c r="C144" t="n">
        <v>250</v>
      </c>
      <c r="D144" t="n">
        <v>290</v>
      </c>
      <c r="E144" t="n">
        <v>1.2897</v>
      </c>
      <c r="F144" t="n">
        <v>77.38</v>
      </c>
      <c r="G144">
        <f>H144/60</f>
        <v/>
      </c>
      <c r="H144">
        <f>MEDIAN(I140,I141,I142,I143,I144,I145,I146,I147,I148)</f>
        <v/>
      </c>
      <c r="I144" t="n">
        <v>54</v>
      </c>
      <c r="J144">
        <f>H144-F144</f>
        <v/>
      </c>
      <c r="K144">
        <f>ABS(J144)</f>
        <v/>
      </c>
      <c r="L144">
        <f>K144/F144*100</f>
        <v/>
      </c>
    </row>
    <row r="145">
      <c r="A145" t="inlineStr">
        <is>
          <t>subject04</t>
        </is>
      </c>
      <c r="B145" t="n">
        <v>27</v>
      </c>
      <c r="C145" t="n">
        <v>260</v>
      </c>
      <c r="D145" t="n">
        <v>300</v>
      </c>
      <c r="E145" t="n">
        <v>1.2836</v>
      </c>
      <c r="F145" t="n">
        <v>77.02</v>
      </c>
      <c r="G145">
        <f>H145/60</f>
        <v/>
      </c>
      <c r="H145">
        <f>MEDIAN(I141,I142,I143,I144,I145,I146,I147,I148,I149)</f>
        <v/>
      </c>
      <c r="I145" t="n">
        <v>51</v>
      </c>
      <c r="J145">
        <f>H145-F145</f>
        <v/>
      </c>
      <c r="K145">
        <f>ABS(J145)</f>
        <v/>
      </c>
      <c r="L145">
        <f>K145/F145*100</f>
        <v/>
      </c>
    </row>
    <row r="146">
      <c r="A146" t="inlineStr">
        <is>
          <t>subject04</t>
        </is>
      </c>
      <c r="B146" t="n">
        <v>28</v>
      </c>
      <c r="C146" t="n">
        <v>270</v>
      </c>
      <c r="D146" t="n">
        <v>310</v>
      </c>
      <c r="E146" t="n">
        <v>1.2838</v>
      </c>
      <c r="F146" t="n">
        <v>77.03</v>
      </c>
      <c r="G146">
        <f>H146/60</f>
        <v/>
      </c>
      <c r="H146">
        <f>MEDIAN(I142,I143,I144,I145,I146,I147,I148,I149,I150)</f>
        <v/>
      </c>
      <c r="I146" t="n">
        <v>51</v>
      </c>
      <c r="J146">
        <f>H146-F146</f>
        <v/>
      </c>
      <c r="K146">
        <f>ABS(J146)</f>
        <v/>
      </c>
      <c r="L146">
        <f>K146/F146*100</f>
        <v/>
      </c>
    </row>
    <row r="147">
      <c r="A147" t="inlineStr">
        <is>
          <t>subject04</t>
        </is>
      </c>
      <c r="B147" t="n">
        <v>29</v>
      </c>
      <c r="C147" t="n">
        <v>280</v>
      </c>
      <c r="D147" t="n">
        <v>320</v>
      </c>
      <c r="E147" t="n">
        <v>1.2793</v>
      </c>
      <c r="F147" t="n">
        <v>76.76000000000001</v>
      </c>
      <c r="G147">
        <f>H147/60</f>
        <v/>
      </c>
      <c r="H147">
        <f>MEDIAN(I143,I144,I145,I146,I147,I148,I149,I150,I151)</f>
        <v/>
      </c>
      <c r="I147" t="n">
        <v>57</v>
      </c>
      <c r="J147">
        <f>H147-F147</f>
        <v/>
      </c>
      <c r="K147">
        <f>ABS(J147)</f>
        <v/>
      </c>
      <c r="L147">
        <f>K147/F147*100</f>
        <v/>
      </c>
    </row>
    <row r="148">
      <c r="A148" t="inlineStr">
        <is>
          <t>subject04</t>
        </is>
      </c>
      <c r="B148" t="n">
        <v>30</v>
      </c>
      <c r="C148" t="n">
        <v>290</v>
      </c>
      <c r="D148" t="n">
        <v>330</v>
      </c>
      <c r="E148" t="n">
        <v>1.282</v>
      </c>
      <c r="F148" t="n">
        <v>76.92</v>
      </c>
      <c r="G148">
        <f>H148/60</f>
        <v/>
      </c>
      <c r="H148">
        <f>MEDIAN(I144,I145,I146,I147,I148,I149,I150,I151,I152)</f>
        <v/>
      </c>
      <c r="I148" t="n">
        <v>55.5</v>
      </c>
      <c r="J148">
        <f>H148-F148</f>
        <v/>
      </c>
      <c r="K148">
        <f>ABS(J148)</f>
        <v/>
      </c>
      <c r="L148">
        <f>K148/F148*100</f>
        <v/>
      </c>
    </row>
    <row r="149">
      <c r="A149" t="inlineStr">
        <is>
          <t>subject04</t>
        </is>
      </c>
      <c r="B149" t="n">
        <v>31</v>
      </c>
      <c r="C149" t="n">
        <v>300</v>
      </c>
      <c r="D149" t="n">
        <v>340</v>
      </c>
      <c r="E149" t="n">
        <v>1.2846</v>
      </c>
      <c r="F149" t="n">
        <v>77.06999999999999</v>
      </c>
      <c r="G149">
        <f>H149/60</f>
        <v/>
      </c>
      <c r="H149">
        <f>MEDIAN(I145,I146,I147,I148,I149,I150,I151,I152,I153)</f>
        <v/>
      </c>
      <c r="I149" t="n">
        <v>55.5</v>
      </c>
      <c r="J149">
        <f>H149-F149</f>
        <v/>
      </c>
      <c r="K149">
        <f>ABS(J149)</f>
        <v/>
      </c>
      <c r="L149">
        <f>K149/F149*100</f>
        <v/>
      </c>
    </row>
    <row r="150">
      <c r="A150" t="inlineStr">
        <is>
          <t>subject04</t>
        </is>
      </c>
      <c r="B150" t="n">
        <v>32</v>
      </c>
      <c r="C150" t="n">
        <v>310</v>
      </c>
      <c r="D150" t="n">
        <v>350</v>
      </c>
      <c r="E150" t="n">
        <v>1.2891</v>
      </c>
      <c r="F150" t="n">
        <v>77.34999999999999</v>
      </c>
      <c r="G150">
        <f>H150/60</f>
        <v/>
      </c>
      <c r="H150">
        <f>MEDIAN(I146,I147,I148,I149,I150,I151,I152,I153,I154)</f>
        <v/>
      </c>
      <c r="I150" t="n">
        <v>66</v>
      </c>
      <c r="J150">
        <f>H150-F150</f>
        <v/>
      </c>
      <c r="K150">
        <f>ABS(J150)</f>
        <v/>
      </c>
      <c r="L150">
        <f>K150/F150*100</f>
        <v/>
      </c>
    </row>
    <row r="151">
      <c r="A151" t="inlineStr">
        <is>
          <t>subject04</t>
        </is>
      </c>
      <c r="B151" t="n">
        <v>33</v>
      </c>
      <c r="C151" t="n">
        <v>320</v>
      </c>
      <c r="D151" t="n">
        <v>360</v>
      </c>
      <c r="E151" t="n">
        <v>1.2977</v>
      </c>
      <c r="F151" t="n">
        <v>77.86</v>
      </c>
      <c r="G151">
        <f>H151/60</f>
        <v/>
      </c>
      <c r="H151">
        <f>MEDIAN(I147,I148,I149,I150,I151,I152,I153,I154,I155)</f>
        <v/>
      </c>
      <c r="I151" t="n">
        <v>58.5</v>
      </c>
      <c r="J151">
        <f>H151-F151</f>
        <v/>
      </c>
      <c r="K151">
        <f>ABS(J151)</f>
        <v/>
      </c>
      <c r="L151">
        <f>K151/F151*100</f>
        <v/>
      </c>
    </row>
    <row r="152">
      <c r="A152" t="inlineStr">
        <is>
          <t>subject04</t>
        </is>
      </c>
      <c r="B152" t="n">
        <v>34</v>
      </c>
      <c r="C152" t="n">
        <v>330</v>
      </c>
      <c r="D152" t="n">
        <v>370</v>
      </c>
      <c r="E152" t="n">
        <v>1.2993</v>
      </c>
      <c r="F152" t="n">
        <v>77.95999999999999</v>
      </c>
      <c r="G152">
        <f>H152/60</f>
        <v/>
      </c>
      <c r="H152">
        <f>MEDIAN(I148,I149,I150,I151,I152,I153,I154,I155,I156)</f>
        <v/>
      </c>
      <c r="I152" t="n">
        <v>60</v>
      </c>
      <c r="J152">
        <f>H152-F152</f>
        <v/>
      </c>
      <c r="K152">
        <f>ABS(J152)</f>
        <v/>
      </c>
      <c r="L152">
        <f>K152/F152*100</f>
        <v/>
      </c>
    </row>
    <row r="153">
      <c r="A153" t="inlineStr">
        <is>
          <t>subject04</t>
        </is>
      </c>
      <c r="B153" t="n">
        <v>35</v>
      </c>
      <c r="C153" t="n">
        <v>340</v>
      </c>
      <c r="D153" t="n">
        <v>380</v>
      </c>
      <c r="E153" t="n">
        <v>1.2967</v>
      </c>
      <c r="F153" t="n">
        <v>77.8</v>
      </c>
      <c r="G153">
        <f>H153/60</f>
        <v/>
      </c>
      <c r="H153">
        <f>MEDIAN(I149,I150,I151,I152,I153,I154,I155,I156,I157)</f>
        <v/>
      </c>
      <c r="I153" t="n">
        <v>60</v>
      </c>
      <c r="J153">
        <f>H153-F153</f>
        <v/>
      </c>
      <c r="K153">
        <f>ABS(J153)</f>
        <v/>
      </c>
      <c r="L153">
        <f>K153/F153*100</f>
        <v/>
      </c>
    </row>
    <row r="154">
      <c r="A154" t="inlineStr">
        <is>
          <t>subject04</t>
        </is>
      </c>
      <c r="B154" t="n">
        <v>36</v>
      </c>
      <c r="C154" t="n">
        <v>350</v>
      </c>
      <c r="D154" t="n">
        <v>390</v>
      </c>
      <c r="E154" t="n">
        <v>1.2757</v>
      </c>
      <c r="F154" t="n">
        <v>76.54000000000001</v>
      </c>
      <c r="G154">
        <f>H154/60</f>
        <v/>
      </c>
      <c r="H154">
        <f>MEDIAN(I150,I151,I152,I153,I154,I155,I156,I157,0)</f>
        <v/>
      </c>
      <c r="I154" t="n">
        <v>60</v>
      </c>
      <c r="J154">
        <f>H154-F154</f>
        <v/>
      </c>
      <c r="K154">
        <f>ABS(J154)</f>
        <v/>
      </c>
      <c r="L154">
        <f>K154/F154*100</f>
        <v/>
      </c>
    </row>
    <row r="155">
      <c r="A155" t="inlineStr">
        <is>
          <t>subject04</t>
        </is>
      </c>
      <c r="B155" t="n">
        <v>37</v>
      </c>
      <c r="C155" t="n">
        <v>360</v>
      </c>
      <c r="D155" t="n">
        <v>400</v>
      </c>
      <c r="E155" t="n">
        <v>1.253</v>
      </c>
      <c r="F155" t="n">
        <v>75.18000000000001</v>
      </c>
      <c r="G155">
        <f>H155/60</f>
        <v/>
      </c>
      <c r="H155">
        <f>MEDIAN(I151,I152,I153,I154,I155,I156,I157,0,0)</f>
        <v/>
      </c>
      <c r="I155" t="n">
        <v>52.5</v>
      </c>
      <c r="J155">
        <f>H155-F155</f>
        <v/>
      </c>
      <c r="K155">
        <f>ABS(J155)</f>
        <v/>
      </c>
      <c r="L155">
        <f>K155/F155*100</f>
        <v/>
      </c>
    </row>
    <row r="156">
      <c r="A156" t="inlineStr">
        <is>
          <t>subject04</t>
        </is>
      </c>
      <c r="B156" t="n">
        <v>38</v>
      </c>
      <c r="C156" t="n">
        <v>370</v>
      </c>
      <c r="D156" t="n">
        <v>410</v>
      </c>
      <c r="E156" t="n">
        <v>1.2381</v>
      </c>
      <c r="F156" t="n">
        <v>74.28</v>
      </c>
      <c r="G156">
        <f>H156/60</f>
        <v/>
      </c>
      <c r="H156">
        <f>MEDIAN(I152,I153,I154,I155,I156,I157,0,0,0)</f>
        <v/>
      </c>
      <c r="I156" t="n">
        <v>52.5</v>
      </c>
      <c r="J156">
        <f>H156-F156</f>
        <v/>
      </c>
      <c r="K156">
        <f>ABS(J156)</f>
        <v/>
      </c>
      <c r="L156">
        <f>K156/F156*100</f>
        <v/>
      </c>
    </row>
    <row r="157">
      <c r="A157" t="inlineStr">
        <is>
          <t>subject04</t>
        </is>
      </c>
      <c r="B157" t="n">
        <v>39</v>
      </c>
      <c r="C157" t="n">
        <v>380</v>
      </c>
      <c r="D157" t="n">
        <v>420</v>
      </c>
      <c r="E157" t="n">
        <v>1.2372</v>
      </c>
      <c r="F157" t="n">
        <v>74.23</v>
      </c>
      <c r="G157">
        <f>H157/60</f>
        <v/>
      </c>
      <c r="H157">
        <f>MEDIAN(I153,I154,I155,I156,I157,0,0,0,0)</f>
        <v/>
      </c>
      <c r="I157" t="n">
        <v>60</v>
      </c>
      <c r="J157">
        <f>H157-F157</f>
        <v/>
      </c>
      <c r="K157">
        <f>ABS(J157)</f>
        <v/>
      </c>
      <c r="L157">
        <f>K157/F157*100</f>
        <v/>
      </c>
    </row>
    <row r="158">
      <c r="A158" t="inlineStr">
        <is>
          <t>subject05</t>
        </is>
      </c>
      <c r="B158" t="n">
        <v>1</v>
      </c>
      <c r="C158" t="n">
        <v>0</v>
      </c>
      <c r="D158" t="n">
        <v>40</v>
      </c>
      <c r="E158" t="n">
        <v>1.1341</v>
      </c>
      <c r="F158" t="n">
        <v>68.05</v>
      </c>
      <c r="G158">
        <f>H158/60</f>
        <v/>
      </c>
      <c r="H158">
        <f>MEDIAN(0,0,0,0,I158,I159,I160,I161,I162)</f>
        <v/>
      </c>
      <c r="I158" t="n">
        <v>63</v>
      </c>
      <c r="J158">
        <f>H158-F158</f>
        <v/>
      </c>
      <c r="K158">
        <f>ABS(J158)</f>
        <v/>
      </c>
      <c r="L158">
        <f>K158/F158*100</f>
        <v/>
      </c>
    </row>
    <row r="159">
      <c r="A159" t="inlineStr">
        <is>
          <t>subject05</t>
        </is>
      </c>
      <c r="B159" t="n">
        <v>2</v>
      </c>
      <c r="C159" t="n">
        <v>10</v>
      </c>
      <c r="D159" t="n">
        <v>50</v>
      </c>
      <c r="E159" t="n">
        <v>1.1218</v>
      </c>
      <c r="F159" t="n">
        <v>67.31</v>
      </c>
      <c r="G159">
        <f>H159/60</f>
        <v/>
      </c>
      <c r="H159">
        <f>MEDIAN(0,0,0,I158,I159,I160,I161,I162,I163)</f>
        <v/>
      </c>
      <c r="I159" t="n">
        <v>63</v>
      </c>
      <c r="J159">
        <f>H159-F159</f>
        <v/>
      </c>
      <c r="K159">
        <f>ABS(J159)</f>
        <v/>
      </c>
      <c r="L159">
        <f>K159/F159*100</f>
        <v/>
      </c>
    </row>
    <row r="160">
      <c r="A160" t="inlineStr">
        <is>
          <t>subject05</t>
        </is>
      </c>
      <c r="B160" t="n">
        <v>3</v>
      </c>
      <c r="C160" t="n">
        <v>20</v>
      </c>
      <c r="D160" t="n">
        <v>60</v>
      </c>
      <c r="E160" t="n">
        <v>1.145</v>
      </c>
      <c r="F160" t="n">
        <v>68.7</v>
      </c>
      <c r="G160">
        <f>H160/60</f>
        <v/>
      </c>
      <c r="H160">
        <f>MEDIAN(0,0,I158,I159,I160,I161,I162,I163,I164)</f>
        <v/>
      </c>
      <c r="I160" t="n">
        <v>63</v>
      </c>
      <c r="J160">
        <f>H160-F160</f>
        <v/>
      </c>
      <c r="K160">
        <f>ABS(J160)</f>
        <v/>
      </c>
      <c r="L160">
        <f>K160/F160*100</f>
        <v/>
      </c>
    </row>
    <row r="161">
      <c r="A161" t="inlineStr">
        <is>
          <t>subject05</t>
        </is>
      </c>
      <c r="B161" t="n">
        <v>4</v>
      </c>
      <c r="C161" t="n">
        <v>30</v>
      </c>
      <c r="D161" t="n">
        <v>70</v>
      </c>
      <c r="E161" t="n">
        <v>1.1335</v>
      </c>
      <c r="F161" t="n">
        <v>68.01000000000001</v>
      </c>
      <c r="G161">
        <f>H161/60</f>
        <v/>
      </c>
      <c r="H161">
        <f>MEDIAN(0,I158,I159,I160,I161,I162,I163,I164,I165)</f>
        <v/>
      </c>
      <c r="I161" t="n">
        <v>69</v>
      </c>
      <c r="J161">
        <f>H161-F161</f>
        <v/>
      </c>
      <c r="K161">
        <f>ABS(J161)</f>
        <v/>
      </c>
      <c r="L161">
        <f>K161/F161*100</f>
        <v/>
      </c>
    </row>
    <row r="162">
      <c r="A162" t="inlineStr">
        <is>
          <t>subject05</t>
        </is>
      </c>
      <c r="B162" t="n">
        <v>5</v>
      </c>
      <c r="C162" t="n">
        <v>40</v>
      </c>
      <c r="D162" t="n">
        <v>80</v>
      </c>
      <c r="E162" t="n">
        <v>1.1388</v>
      </c>
      <c r="F162" t="n">
        <v>68.33</v>
      </c>
      <c r="G162">
        <f>H162/60</f>
        <v/>
      </c>
      <c r="H162">
        <f>MEDIAN(I158,I159,I160,I161,I162,I163,I164,I165,I166)</f>
        <v/>
      </c>
      <c r="I162" t="n">
        <v>69</v>
      </c>
      <c r="J162">
        <f>H162-F162</f>
        <v/>
      </c>
      <c r="K162">
        <f>ABS(J162)</f>
        <v/>
      </c>
      <c r="L162">
        <f>K162/F162*100</f>
        <v/>
      </c>
    </row>
    <row r="163">
      <c r="A163" t="inlineStr">
        <is>
          <t>subject05</t>
        </is>
      </c>
      <c r="B163" t="n">
        <v>6</v>
      </c>
      <c r="C163" t="n">
        <v>50</v>
      </c>
      <c r="D163" t="n">
        <v>90</v>
      </c>
      <c r="E163" t="n">
        <v>1.1413</v>
      </c>
      <c r="F163" t="n">
        <v>68.48</v>
      </c>
      <c r="G163">
        <f>H163/60</f>
        <v/>
      </c>
      <c r="H163">
        <f>MEDIAN(I159,I160,I161,I162,I163,I164,I165,I166,I167)</f>
        <v/>
      </c>
      <c r="I163" t="n">
        <v>67.5</v>
      </c>
      <c r="J163">
        <f>H163-F163</f>
        <v/>
      </c>
      <c r="K163">
        <f>ABS(J163)</f>
        <v/>
      </c>
      <c r="L163">
        <f>K163/F163*100</f>
        <v/>
      </c>
    </row>
    <row r="164">
      <c r="A164" t="inlineStr">
        <is>
          <t>subject05</t>
        </is>
      </c>
      <c r="B164" t="n">
        <v>7</v>
      </c>
      <c r="C164" t="n">
        <v>60</v>
      </c>
      <c r="D164" t="n">
        <v>100</v>
      </c>
      <c r="E164" t="n">
        <v>1.1268</v>
      </c>
      <c r="F164" t="n">
        <v>67.61</v>
      </c>
      <c r="G164">
        <f>H164/60</f>
        <v/>
      </c>
      <c r="H164">
        <f>MEDIAN(I160,I161,I162,I163,I164,I165,I166,I167,I168)</f>
        <v/>
      </c>
      <c r="I164" t="n">
        <v>67.5</v>
      </c>
      <c r="J164">
        <f>H164-F164</f>
        <v/>
      </c>
      <c r="K164">
        <f>ABS(J164)</f>
        <v/>
      </c>
      <c r="L164">
        <f>K164/F164*100</f>
        <v/>
      </c>
    </row>
    <row r="165">
      <c r="A165" t="inlineStr">
        <is>
          <t>subject05</t>
        </is>
      </c>
      <c r="B165" t="n">
        <v>8</v>
      </c>
      <c r="C165" t="n">
        <v>70</v>
      </c>
      <c r="D165" t="n">
        <v>110</v>
      </c>
      <c r="E165" t="n">
        <v>1.1142</v>
      </c>
      <c r="F165" t="n">
        <v>66.84999999999999</v>
      </c>
      <c r="G165">
        <f>H165/60</f>
        <v/>
      </c>
      <c r="H165">
        <f>MEDIAN(I161,I162,I163,I164,I165,I166,I167,I168,I169)</f>
        <v/>
      </c>
      <c r="I165" t="n">
        <v>66</v>
      </c>
      <c r="J165">
        <f>H165-F165</f>
        <v/>
      </c>
      <c r="K165">
        <f>ABS(J165)</f>
        <v/>
      </c>
      <c r="L165">
        <f>K165/F165*100</f>
        <v/>
      </c>
    </row>
    <row r="166">
      <c r="A166" t="inlineStr">
        <is>
          <t>subject05</t>
        </is>
      </c>
      <c r="B166" t="n">
        <v>9</v>
      </c>
      <c r="C166" t="n">
        <v>80</v>
      </c>
      <c r="D166" t="n">
        <v>120</v>
      </c>
      <c r="E166" t="n">
        <v>1.1121</v>
      </c>
      <c r="F166" t="n">
        <v>66.73</v>
      </c>
      <c r="G166">
        <f>H166/60</f>
        <v/>
      </c>
      <c r="H166">
        <f>MEDIAN(I162,I163,I164,I165,I166,I167,I168,I169,I170)</f>
        <v/>
      </c>
      <c r="I166" t="n">
        <v>66</v>
      </c>
      <c r="J166">
        <f>H166-F166</f>
        <v/>
      </c>
      <c r="K166">
        <f>ABS(J166)</f>
        <v/>
      </c>
      <c r="L166">
        <f>K166/F166*100</f>
        <v/>
      </c>
    </row>
    <row r="167">
      <c r="A167" t="inlineStr">
        <is>
          <t>subject05</t>
        </is>
      </c>
      <c r="B167" t="n">
        <v>10</v>
      </c>
      <c r="C167" t="n">
        <v>90</v>
      </c>
      <c r="D167" t="n">
        <v>130</v>
      </c>
      <c r="E167" t="n">
        <v>1.114</v>
      </c>
      <c r="F167" t="n">
        <v>66.84</v>
      </c>
      <c r="G167">
        <f>H167/60</f>
        <v/>
      </c>
      <c r="H167">
        <f>MEDIAN(I163,I164,I165,I166,I167,I168,I169,I170,I171)</f>
        <v/>
      </c>
      <c r="I167" t="n">
        <v>70.5</v>
      </c>
      <c r="J167">
        <f>H167-F167</f>
        <v/>
      </c>
      <c r="K167">
        <f>ABS(J167)</f>
        <v/>
      </c>
      <c r="L167">
        <f>K167/F167*100</f>
        <v/>
      </c>
    </row>
    <row r="168">
      <c r="A168" t="inlineStr">
        <is>
          <t>subject05</t>
        </is>
      </c>
      <c r="B168" t="n">
        <v>11</v>
      </c>
      <c r="C168" t="n">
        <v>100</v>
      </c>
      <c r="D168" t="n">
        <v>140</v>
      </c>
      <c r="E168" t="n">
        <v>1.1311</v>
      </c>
      <c r="F168" t="n">
        <v>67.86</v>
      </c>
      <c r="G168">
        <f>H168/60</f>
        <v/>
      </c>
      <c r="H168">
        <f>MEDIAN(I164,I165,I166,I167,I168,I169,I170,I171,I172)</f>
        <v/>
      </c>
      <c r="I168" t="n">
        <v>69</v>
      </c>
      <c r="J168">
        <f>H168-F168</f>
        <v/>
      </c>
      <c r="K168">
        <f>ABS(J168)</f>
        <v/>
      </c>
      <c r="L168">
        <f>K168/F168*100</f>
        <v/>
      </c>
    </row>
    <row r="169">
      <c r="A169" t="inlineStr">
        <is>
          <t>subject05</t>
        </is>
      </c>
      <c r="B169" t="n">
        <v>12</v>
      </c>
      <c r="C169" t="n">
        <v>110</v>
      </c>
      <c r="D169" t="n">
        <v>150</v>
      </c>
      <c r="E169" t="n">
        <v>1.155</v>
      </c>
      <c r="F169" t="n">
        <v>69.3</v>
      </c>
      <c r="G169">
        <f>H169/60</f>
        <v/>
      </c>
      <c r="H169">
        <f>MEDIAN(I165,I166,I167,I168,I169,I170,I171,I172,I173)</f>
        <v/>
      </c>
      <c r="I169" t="n">
        <v>76.5</v>
      </c>
      <c r="J169">
        <f>H169-F169</f>
        <v/>
      </c>
      <c r="K169">
        <f>ABS(J169)</f>
        <v/>
      </c>
      <c r="L169">
        <f>K169/F169*100</f>
        <v/>
      </c>
    </row>
    <row r="170">
      <c r="A170" t="inlineStr">
        <is>
          <t>subject05</t>
        </is>
      </c>
      <c r="B170" t="n">
        <v>13</v>
      </c>
      <c r="C170" t="n">
        <v>120</v>
      </c>
      <c r="D170" t="n">
        <v>160</v>
      </c>
      <c r="E170" t="n">
        <v>1.1486</v>
      </c>
      <c r="F170" t="n">
        <v>68.92</v>
      </c>
      <c r="G170">
        <f>H170/60</f>
        <v/>
      </c>
      <c r="H170">
        <f>MEDIAN(I166,I167,I168,I169,I170,I171,I172,I173,I174)</f>
        <v/>
      </c>
      <c r="I170" t="n">
        <v>78</v>
      </c>
      <c r="J170">
        <f>H170-F170</f>
        <v/>
      </c>
      <c r="K170">
        <f>ABS(J170)</f>
        <v/>
      </c>
      <c r="L170">
        <f>K170/F170*100</f>
        <v/>
      </c>
    </row>
    <row r="171">
      <c r="A171" t="inlineStr">
        <is>
          <t>subject05</t>
        </is>
      </c>
      <c r="B171" t="n">
        <v>14</v>
      </c>
      <c r="C171" t="n">
        <v>130</v>
      </c>
      <c r="D171" t="n">
        <v>170</v>
      </c>
      <c r="E171" t="n">
        <v>1.1293</v>
      </c>
      <c r="F171" t="n">
        <v>67.76000000000001</v>
      </c>
      <c r="G171">
        <f>H171/60</f>
        <v/>
      </c>
      <c r="H171">
        <f>MEDIAN(I167,I168,I169,I170,I171,I172,I173,I174,I175)</f>
        <v/>
      </c>
      <c r="I171" t="n">
        <v>87</v>
      </c>
      <c r="J171">
        <f>H171-F171</f>
        <v/>
      </c>
      <c r="K171">
        <f>ABS(J171)</f>
        <v/>
      </c>
      <c r="L171">
        <f>K171/F171*100</f>
        <v/>
      </c>
    </row>
    <row r="172">
      <c r="A172" t="inlineStr">
        <is>
          <t>subject05</t>
        </is>
      </c>
      <c r="B172" t="n">
        <v>15</v>
      </c>
      <c r="C172" t="n">
        <v>140</v>
      </c>
      <c r="D172" t="n">
        <v>180</v>
      </c>
      <c r="E172" t="n">
        <v>1.1054</v>
      </c>
      <c r="F172" t="n">
        <v>66.31999999999999</v>
      </c>
      <c r="G172">
        <f>H172/60</f>
        <v/>
      </c>
      <c r="H172">
        <f>MEDIAN(I168,I169,I170,I171,I172,I173,I174,I175,I176)</f>
        <v/>
      </c>
      <c r="I172" t="n">
        <v>87</v>
      </c>
      <c r="J172">
        <f>H172-F172</f>
        <v/>
      </c>
      <c r="K172">
        <f>ABS(J172)</f>
        <v/>
      </c>
      <c r="L172">
        <f>K172/F172*100</f>
        <v/>
      </c>
    </row>
    <row r="173">
      <c r="A173" t="inlineStr">
        <is>
          <t>subject05</t>
        </is>
      </c>
      <c r="B173" t="n">
        <v>16</v>
      </c>
      <c r="C173" t="n">
        <v>150</v>
      </c>
      <c r="D173" t="n">
        <v>190</v>
      </c>
      <c r="E173" t="n">
        <v>1.0756</v>
      </c>
      <c r="F173" t="n">
        <v>64.54000000000001</v>
      </c>
      <c r="G173">
        <f>H173/60</f>
        <v/>
      </c>
      <c r="H173">
        <f>MEDIAN(I169,I170,I171,I172,I173,I174,I175,I176,I177)</f>
        <v/>
      </c>
      <c r="I173" t="n">
        <v>55.5</v>
      </c>
      <c r="J173">
        <f>H173-F173</f>
        <v/>
      </c>
      <c r="K173">
        <f>ABS(J173)</f>
        <v/>
      </c>
      <c r="L173">
        <f>K173/F173*100</f>
        <v/>
      </c>
    </row>
    <row r="174">
      <c r="A174" t="inlineStr">
        <is>
          <t>subject05</t>
        </is>
      </c>
      <c r="B174" t="n">
        <v>17</v>
      </c>
      <c r="C174" t="n">
        <v>160</v>
      </c>
      <c r="D174" t="n">
        <v>200</v>
      </c>
      <c r="E174" t="n">
        <v>1.0705</v>
      </c>
      <c r="F174" t="n">
        <v>64.23</v>
      </c>
      <c r="G174">
        <f>H174/60</f>
        <v/>
      </c>
      <c r="H174">
        <f>MEDIAN(I170,I171,I172,I173,I174,I175,I176,I177,I178)</f>
        <v/>
      </c>
      <c r="I174" t="n">
        <v>63</v>
      </c>
      <c r="J174">
        <f>H174-F174</f>
        <v/>
      </c>
      <c r="K174">
        <f>ABS(J174)</f>
        <v/>
      </c>
      <c r="L174">
        <f>K174/F174*100</f>
        <v/>
      </c>
    </row>
    <row r="175">
      <c r="A175" t="inlineStr">
        <is>
          <t>subject05</t>
        </is>
      </c>
      <c r="B175" t="n">
        <v>18</v>
      </c>
      <c r="C175" t="n">
        <v>170</v>
      </c>
      <c r="D175" t="n">
        <v>210</v>
      </c>
      <c r="E175" t="n">
        <v>1.0778</v>
      </c>
      <c r="F175" t="n">
        <v>64.67</v>
      </c>
      <c r="G175">
        <f>H175/60</f>
        <v/>
      </c>
      <c r="H175">
        <f>MEDIAN(I171,I172,I173,I174,I175,I176,I177,I178,I179)</f>
        <v/>
      </c>
      <c r="I175" t="n">
        <v>66</v>
      </c>
      <c r="J175">
        <f>H175-F175</f>
        <v/>
      </c>
      <c r="K175">
        <f>ABS(J175)</f>
        <v/>
      </c>
      <c r="L175">
        <f>K175/F175*100</f>
        <v/>
      </c>
    </row>
    <row r="176">
      <c r="A176" t="inlineStr">
        <is>
          <t>subject05</t>
        </is>
      </c>
      <c r="B176" t="n">
        <v>19</v>
      </c>
      <c r="C176" t="n">
        <v>180</v>
      </c>
      <c r="D176" t="n">
        <v>220</v>
      </c>
      <c r="E176" t="n">
        <v>1.0829</v>
      </c>
      <c r="F176" t="n">
        <v>64.98</v>
      </c>
      <c r="G176">
        <f>H176/60</f>
        <v/>
      </c>
      <c r="H176">
        <f>MEDIAN(I172,I173,I174,I175,I176,I177,I178,I179,I180)</f>
        <v/>
      </c>
      <c r="I176" t="n">
        <v>85.5</v>
      </c>
      <c r="J176">
        <f>H176-F176</f>
        <v/>
      </c>
      <c r="K176">
        <f>ABS(J176)</f>
        <v/>
      </c>
      <c r="L176">
        <f>K176/F176*100</f>
        <v/>
      </c>
    </row>
    <row r="177">
      <c r="A177" t="inlineStr">
        <is>
          <t>subject05</t>
        </is>
      </c>
      <c r="B177" t="n">
        <v>20</v>
      </c>
      <c r="C177" t="n">
        <v>190</v>
      </c>
      <c r="D177" t="n">
        <v>230</v>
      </c>
      <c r="E177" t="n">
        <v>1.0954</v>
      </c>
      <c r="F177" t="n">
        <v>65.72</v>
      </c>
      <c r="G177">
        <f>H177/60</f>
        <v/>
      </c>
      <c r="H177">
        <f>MEDIAN(I173,I174,I175,I176,I177,I178,I179,I180,I181)</f>
        <v/>
      </c>
      <c r="I177" t="n">
        <v>57</v>
      </c>
      <c r="J177">
        <f>H177-F177</f>
        <v/>
      </c>
      <c r="K177">
        <f>ABS(J177)</f>
        <v/>
      </c>
      <c r="L177">
        <f>K177/F177*100</f>
        <v/>
      </c>
    </row>
    <row r="178">
      <c r="A178" t="inlineStr">
        <is>
          <t>subject05</t>
        </is>
      </c>
      <c r="B178" t="n">
        <v>21</v>
      </c>
      <c r="C178" t="n">
        <v>200</v>
      </c>
      <c r="D178" t="n">
        <v>240</v>
      </c>
      <c r="E178" t="n">
        <v>1.1036</v>
      </c>
      <c r="F178" t="n">
        <v>66.22</v>
      </c>
      <c r="G178">
        <f>H178/60</f>
        <v/>
      </c>
      <c r="H178">
        <f>MEDIAN(I174,I175,I176,I177,I178,I179,I180,I181,I182)</f>
        <v/>
      </c>
      <c r="I178" t="n">
        <v>57</v>
      </c>
      <c r="J178">
        <f>H178-F178</f>
        <v/>
      </c>
      <c r="K178">
        <f>ABS(J178)</f>
        <v/>
      </c>
      <c r="L178">
        <f>K178/F178*100</f>
        <v/>
      </c>
    </row>
    <row r="179">
      <c r="A179" t="inlineStr">
        <is>
          <t>subject05</t>
        </is>
      </c>
      <c r="B179" t="n">
        <v>22</v>
      </c>
      <c r="C179" t="n">
        <v>210</v>
      </c>
      <c r="D179" t="n">
        <v>250</v>
      </c>
      <c r="E179" t="n">
        <v>1.1079</v>
      </c>
      <c r="F179" t="n">
        <v>66.47</v>
      </c>
      <c r="G179">
        <f>H179/60</f>
        <v/>
      </c>
      <c r="H179">
        <f>MEDIAN(I175,I176,I177,I178,I179,I180,I181,I182,I183)</f>
        <v/>
      </c>
      <c r="I179" t="n">
        <v>73.5</v>
      </c>
      <c r="J179">
        <f>H179-F179</f>
        <v/>
      </c>
      <c r="K179">
        <f>ABS(J179)</f>
        <v/>
      </c>
      <c r="L179">
        <f>K179/F179*100</f>
        <v/>
      </c>
    </row>
    <row r="180">
      <c r="A180" t="inlineStr">
        <is>
          <t>subject05</t>
        </is>
      </c>
      <c r="B180" t="n">
        <v>23</v>
      </c>
      <c r="C180" t="n">
        <v>220</v>
      </c>
      <c r="D180" t="n">
        <v>260</v>
      </c>
      <c r="E180" t="n">
        <v>1.114</v>
      </c>
      <c r="F180" t="n">
        <v>66.84</v>
      </c>
      <c r="G180">
        <f>H180/60</f>
        <v/>
      </c>
      <c r="H180">
        <f>MEDIAN(I176,I177,I178,I179,I180,I181,I182,I183,I184)</f>
        <v/>
      </c>
      <c r="I180" t="n">
        <v>87</v>
      </c>
      <c r="J180">
        <f>H180-F180</f>
        <v/>
      </c>
      <c r="K180">
        <f>ABS(J180)</f>
        <v/>
      </c>
      <c r="L180">
        <f>K180/F180*100</f>
        <v/>
      </c>
    </row>
    <row r="181">
      <c r="A181" t="inlineStr">
        <is>
          <t>subject05</t>
        </is>
      </c>
      <c r="B181" t="n">
        <v>24</v>
      </c>
      <c r="C181" t="n">
        <v>230</v>
      </c>
      <c r="D181" t="n">
        <v>270</v>
      </c>
      <c r="E181" t="n">
        <v>1.1314</v>
      </c>
      <c r="F181" t="n">
        <v>67.89</v>
      </c>
      <c r="G181">
        <f>H181/60</f>
        <v/>
      </c>
      <c r="H181">
        <f>MEDIAN(I177,I178,I179,I180,I181,I182,I183,I184,I185)</f>
        <v/>
      </c>
      <c r="I181" t="n">
        <v>57</v>
      </c>
      <c r="J181">
        <f>H181-F181</f>
        <v/>
      </c>
      <c r="K181">
        <f>ABS(J181)</f>
        <v/>
      </c>
      <c r="L181">
        <f>K181/F181*100</f>
        <v/>
      </c>
    </row>
    <row r="182">
      <c r="A182" t="inlineStr">
        <is>
          <t>subject05</t>
        </is>
      </c>
      <c r="B182" t="n">
        <v>25</v>
      </c>
      <c r="C182" t="n">
        <v>240</v>
      </c>
      <c r="D182" t="n">
        <v>280</v>
      </c>
      <c r="E182" t="n">
        <v>1.1442</v>
      </c>
      <c r="F182" t="n">
        <v>68.65000000000001</v>
      </c>
      <c r="G182">
        <f>H182/60</f>
        <v/>
      </c>
      <c r="H182">
        <f>MEDIAN(I178,I179,I180,I181,I182,I183,I184,I185,I186)</f>
        <v/>
      </c>
      <c r="I182" t="n">
        <v>57</v>
      </c>
      <c r="J182">
        <f>H182-F182</f>
        <v/>
      </c>
      <c r="K182">
        <f>ABS(J182)</f>
        <v/>
      </c>
      <c r="L182">
        <f>K182/F182*100</f>
        <v/>
      </c>
    </row>
    <row r="183">
      <c r="A183" t="inlineStr">
        <is>
          <t>subject05</t>
        </is>
      </c>
      <c r="B183" t="n">
        <v>26</v>
      </c>
      <c r="C183" t="n">
        <v>250</v>
      </c>
      <c r="D183" t="n">
        <v>290</v>
      </c>
      <c r="E183" t="n">
        <v>1.1587</v>
      </c>
      <c r="F183" t="n">
        <v>69.52</v>
      </c>
      <c r="G183">
        <f>H183/60</f>
        <v/>
      </c>
      <c r="H183">
        <f>MEDIAN(I179,I180,I181,I182,I183,I184,I185,I186,I187)</f>
        <v/>
      </c>
      <c r="I183" t="n">
        <v>70.5</v>
      </c>
      <c r="J183">
        <f>H183-F183</f>
        <v/>
      </c>
      <c r="K183">
        <f>ABS(J183)</f>
        <v/>
      </c>
      <c r="L183">
        <f>K183/F183*100</f>
        <v/>
      </c>
    </row>
    <row r="184">
      <c r="A184" t="inlineStr">
        <is>
          <t>subject05</t>
        </is>
      </c>
      <c r="B184" t="n">
        <v>27</v>
      </c>
      <c r="C184" t="n">
        <v>260</v>
      </c>
      <c r="D184" t="n">
        <v>300</v>
      </c>
      <c r="E184" t="n">
        <v>1.202</v>
      </c>
      <c r="F184" t="n">
        <v>72.12</v>
      </c>
      <c r="G184">
        <f>H184/60</f>
        <v/>
      </c>
      <c r="H184">
        <f>MEDIAN(I180,I181,I182,I183,I184,I185,I186,I187,I188)</f>
        <v/>
      </c>
      <c r="I184" t="n">
        <v>69</v>
      </c>
      <c r="J184">
        <f>H184-F184</f>
        <v/>
      </c>
      <c r="K184">
        <f>ABS(J184)</f>
        <v/>
      </c>
      <c r="L184">
        <f>K184/F184*100</f>
        <v/>
      </c>
    </row>
    <row r="185">
      <c r="A185" t="inlineStr">
        <is>
          <t>subject05</t>
        </is>
      </c>
      <c r="B185" t="n">
        <v>28</v>
      </c>
      <c r="C185" t="n">
        <v>270</v>
      </c>
      <c r="D185" t="n">
        <v>310</v>
      </c>
      <c r="E185" t="n">
        <v>1.2247</v>
      </c>
      <c r="F185" t="n">
        <v>73.48</v>
      </c>
      <c r="G185">
        <f>H185/60</f>
        <v/>
      </c>
      <c r="H185">
        <f>MEDIAN(I181,I182,I183,I184,I185,I186,I187,I188,I189)</f>
        <v/>
      </c>
      <c r="I185" t="n">
        <v>87</v>
      </c>
      <c r="J185">
        <f>H185-F185</f>
        <v/>
      </c>
      <c r="K185">
        <f>ABS(J185)</f>
        <v/>
      </c>
      <c r="L185">
        <f>K185/F185*100</f>
        <v/>
      </c>
    </row>
    <row r="186">
      <c r="A186" t="inlineStr">
        <is>
          <t>subject05</t>
        </is>
      </c>
      <c r="B186" t="n">
        <v>29</v>
      </c>
      <c r="C186" t="n">
        <v>280</v>
      </c>
      <c r="D186" t="n">
        <v>320</v>
      </c>
      <c r="E186" t="n">
        <v>1.2531</v>
      </c>
      <c r="F186" t="n">
        <v>75.18000000000001</v>
      </c>
      <c r="G186">
        <f>H186/60</f>
        <v/>
      </c>
      <c r="H186">
        <f>MEDIAN(I182,I183,I184,I185,I186,I187,I188,I189,I190)</f>
        <v/>
      </c>
      <c r="I186" t="n">
        <v>76.5</v>
      </c>
      <c r="J186">
        <f>H186-F186</f>
        <v/>
      </c>
      <c r="K186">
        <f>ABS(J186)</f>
        <v/>
      </c>
      <c r="L186">
        <f>K186/F186*100</f>
        <v/>
      </c>
    </row>
    <row r="187">
      <c r="A187" t="inlineStr">
        <is>
          <t>subject05</t>
        </is>
      </c>
      <c r="B187" t="n">
        <v>30</v>
      </c>
      <c r="C187" t="n">
        <v>290</v>
      </c>
      <c r="D187" t="n">
        <v>330</v>
      </c>
      <c r="E187" t="n">
        <v>1.255</v>
      </c>
      <c r="F187" t="n">
        <v>75.3</v>
      </c>
      <c r="G187">
        <f>H187/60</f>
        <v/>
      </c>
      <c r="H187">
        <f>MEDIAN(I183,I184,I185,I186,I187,I188,I189,I190,I191)</f>
        <v/>
      </c>
      <c r="I187" t="n">
        <v>76.5</v>
      </c>
      <c r="J187">
        <f>H187-F187</f>
        <v/>
      </c>
      <c r="K187">
        <f>ABS(J187)</f>
        <v/>
      </c>
      <c r="L187">
        <f>K187/F187*100</f>
        <v/>
      </c>
    </row>
    <row r="188">
      <c r="A188" t="inlineStr">
        <is>
          <t>subject05</t>
        </is>
      </c>
      <c r="B188" t="n">
        <v>31</v>
      </c>
      <c r="C188" t="n">
        <v>300</v>
      </c>
      <c r="D188" t="n">
        <v>340</v>
      </c>
      <c r="E188" t="n">
        <v>1.2281</v>
      </c>
      <c r="F188" t="n">
        <v>73.68000000000001</v>
      </c>
      <c r="G188">
        <f>H188/60</f>
        <v/>
      </c>
      <c r="H188">
        <f>MEDIAN(I184,I185,I186,I187,I188,I189,I190,I191,I192)</f>
        <v/>
      </c>
      <c r="I188" t="n">
        <v>73.5</v>
      </c>
      <c r="J188">
        <f>H188-F188</f>
        <v/>
      </c>
      <c r="K188">
        <f>ABS(J188)</f>
        <v/>
      </c>
      <c r="L188">
        <f>K188/F188*100</f>
        <v/>
      </c>
    </row>
    <row r="189">
      <c r="A189" t="inlineStr">
        <is>
          <t>subject05</t>
        </is>
      </c>
      <c r="B189" t="n">
        <v>32</v>
      </c>
      <c r="C189" t="n">
        <v>310</v>
      </c>
      <c r="D189" t="n">
        <v>350</v>
      </c>
      <c r="E189" t="n">
        <v>1.1952</v>
      </c>
      <c r="F189" t="n">
        <v>71.70999999999999</v>
      </c>
      <c r="G189">
        <f>H189/60</f>
        <v/>
      </c>
      <c r="H189">
        <f>MEDIAN(I185,I186,I187,I188,I189,I190,I191,I192,I193)</f>
        <v/>
      </c>
      <c r="I189" t="n">
        <v>72</v>
      </c>
      <c r="J189">
        <f>H189-F189</f>
        <v/>
      </c>
      <c r="K189">
        <f>ABS(J189)</f>
        <v/>
      </c>
      <c r="L189">
        <f>K189/F189*100</f>
        <v/>
      </c>
    </row>
    <row r="190">
      <c r="A190" t="inlineStr">
        <is>
          <t>subject05</t>
        </is>
      </c>
      <c r="B190" t="n">
        <v>33</v>
      </c>
      <c r="C190" t="n">
        <v>320</v>
      </c>
      <c r="D190" t="n">
        <v>360</v>
      </c>
      <c r="E190" t="n">
        <v>1.1774</v>
      </c>
      <c r="F190" t="n">
        <v>70.64</v>
      </c>
      <c r="G190">
        <f>H190/60</f>
        <v/>
      </c>
      <c r="H190">
        <f>MEDIAN(I186,I187,I188,I189,I190,I191,I192,I193,I194)</f>
        <v/>
      </c>
      <c r="I190" t="n">
        <v>72</v>
      </c>
      <c r="J190">
        <f>H190-F190</f>
        <v/>
      </c>
      <c r="K190">
        <f>ABS(J190)</f>
        <v/>
      </c>
      <c r="L190">
        <f>K190/F190*100</f>
        <v/>
      </c>
    </row>
    <row r="191">
      <c r="A191" t="inlineStr">
        <is>
          <t>subject05</t>
        </is>
      </c>
      <c r="B191" t="n">
        <v>34</v>
      </c>
      <c r="C191" t="n">
        <v>330</v>
      </c>
      <c r="D191" t="n">
        <v>370</v>
      </c>
      <c r="E191" t="n">
        <v>1.1706</v>
      </c>
      <c r="F191" t="n">
        <v>70.23</v>
      </c>
      <c r="G191">
        <f>H191/60</f>
        <v/>
      </c>
      <c r="H191">
        <f>MEDIAN(I187,I188,I189,I190,I191,I192,I193,I194,I195)</f>
        <v/>
      </c>
      <c r="I191" t="n">
        <v>67.5</v>
      </c>
      <c r="J191">
        <f>H191-F191</f>
        <v/>
      </c>
      <c r="K191">
        <f>ABS(J191)</f>
        <v/>
      </c>
      <c r="L191">
        <f>K191/F191*100</f>
        <v/>
      </c>
    </row>
    <row r="192">
      <c r="A192" t="inlineStr">
        <is>
          <t>subject05</t>
        </is>
      </c>
      <c r="B192" t="n">
        <v>35</v>
      </c>
      <c r="C192" t="n">
        <v>340</v>
      </c>
      <c r="D192" t="n">
        <v>380</v>
      </c>
      <c r="E192" t="n">
        <v>1.1567</v>
      </c>
      <c r="F192" t="n">
        <v>69.40000000000001</v>
      </c>
      <c r="G192">
        <f>H192/60</f>
        <v/>
      </c>
      <c r="H192">
        <f>MEDIAN(I188,I189,I190,I191,I192,I193,I194,I195,I196)</f>
        <v/>
      </c>
      <c r="I192" t="n">
        <v>57</v>
      </c>
      <c r="J192">
        <f>H192-F192</f>
        <v/>
      </c>
      <c r="K192">
        <f>ABS(J192)</f>
        <v/>
      </c>
      <c r="L192">
        <f>K192/F192*100</f>
        <v/>
      </c>
    </row>
    <row r="193">
      <c r="A193" t="inlineStr">
        <is>
          <t>subject05</t>
        </is>
      </c>
      <c r="B193" t="n">
        <v>36</v>
      </c>
      <c r="C193" t="n">
        <v>350</v>
      </c>
      <c r="D193" t="n">
        <v>390</v>
      </c>
      <c r="E193" t="n">
        <v>1.1471</v>
      </c>
      <c r="F193" t="n">
        <v>68.83</v>
      </c>
      <c r="G193">
        <f>H193/60</f>
        <v/>
      </c>
      <c r="H193">
        <f>MEDIAN(I189,I190,I191,I192,I193,I194,I195,I196,0)</f>
        <v/>
      </c>
      <c r="I193" t="n">
        <v>57</v>
      </c>
      <c r="J193">
        <f>H193-F193</f>
        <v/>
      </c>
      <c r="K193">
        <f>ABS(J193)</f>
        <v/>
      </c>
      <c r="L193">
        <f>K193/F193*100</f>
        <v/>
      </c>
    </row>
    <row r="194">
      <c r="A194" t="inlineStr">
        <is>
          <t>subject05</t>
        </is>
      </c>
      <c r="B194" t="n">
        <v>37</v>
      </c>
      <c r="C194" t="n">
        <v>360</v>
      </c>
      <c r="D194" t="n">
        <v>400</v>
      </c>
      <c r="E194" t="n">
        <v>1.118</v>
      </c>
      <c r="F194" t="n">
        <v>67.08</v>
      </c>
      <c r="G194">
        <f>H194/60</f>
        <v/>
      </c>
      <c r="H194">
        <f>MEDIAN(I190,I191,I192,I193,I194,I195,I196,0,0)</f>
        <v/>
      </c>
      <c r="I194" t="n">
        <v>91.5</v>
      </c>
      <c r="J194">
        <f>H194-F194</f>
        <v/>
      </c>
      <c r="K194">
        <f>ABS(J194)</f>
        <v/>
      </c>
      <c r="L194">
        <f>K194/F194*100</f>
        <v/>
      </c>
    </row>
    <row r="195">
      <c r="A195" t="inlineStr">
        <is>
          <t>subject05</t>
        </is>
      </c>
      <c r="B195" t="n">
        <v>38</v>
      </c>
      <c r="C195" t="n">
        <v>370</v>
      </c>
      <c r="D195" t="n">
        <v>410</v>
      </c>
      <c r="E195" t="n">
        <v>1.1084</v>
      </c>
      <c r="F195" t="n">
        <v>66.5</v>
      </c>
      <c r="G195">
        <f>H195/60</f>
        <v/>
      </c>
      <c r="H195">
        <f>MEDIAN(I191,I192,I193,I194,I195,I196,0,0,0)</f>
        <v/>
      </c>
      <c r="I195" t="n">
        <v>72</v>
      </c>
      <c r="J195">
        <f>H195-F195</f>
        <v/>
      </c>
      <c r="K195">
        <f>ABS(J195)</f>
        <v/>
      </c>
      <c r="L195">
        <f>K195/F195*100</f>
        <v/>
      </c>
    </row>
    <row r="196">
      <c r="A196" t="inlineStr">
        <is>
          <t>subject05</t>
        </is>
      </c>
      <c r="B196" t="n">
        <v>39</v>
      </c>
      <c r="C196" t="n">
        <v>380</v>
      </c>
      <c r="D196" t="n">
        <v>420</v>
      </c>
      <c r="E196" t="n">
        <v>1.1062</v>
      </c>
      <c r="F196" t="n">
        <v>66.37</v>
      </c>
      <c r="G196">
        <f>H196/60</f>
        <v/>
      </c>
      <c r="H196">
        <f>MEDIAN(I192,I193,I194,I195,I196,0,0,0,0)</f>
        <v/>
      </c>
      <c r="I196" t="n">
        <v>66</v>
      </c>
      <c r="J196">
        <f>H196-F196</f>
        <v/>
      </c>
      <c r="K196">
        <f>ABS(J196)</f>
        <v/>
      </c>
      <c r="L196">
        <f>K196/F196*100</f>
        <v/>
      </c>
    </row>
    <row r="197">
      <c r="A197" t="inlineStr">
        <is>
          <t>subject06</t>
        </is>
      </c>
      <c r="B197" t="n">
        <v>1</v>
      </c>
      <c r="C197" t="n">
        <v>0</v>
      </c>
      <c r="D197" t="n">
        <v>40</v>
      </c>
      <c r="E197" t="n">
        <v>1.2224</v>
      </c>
      <c r="F197" t="n">
        <v>73.34</v>
      </c>
      <c r="G197">
        <f>H197/60</f>
        <v/>
      </c>
      <c r="H197">
        <f>MEDIAN(0,0,0,0,I197,I198,I199,I200,I201)</f>
        <v/>
      </c>
      <c r="I197" t="n">
        <v>55.5</v>
      </c>
      <c r="J197">
        <f>H197-F197</f>
        <v/>
      </c>
      <c r="K197">
        <f>ABS(J197)</f>
        <v/>
      </c>
      <c r="L197">
        <f>K197/F197*100</f>
        <v/>
      </c>
    </row>
    <row r="198">
      <c r="A198" t="inlineStr">
        <is>
          <t>subject06</t>
        </is>
      </c>
      <c r="B198" t="n">
        <v>2</v>
      </c>
      <c r="C198" t="n">
        <v>10</v>
      </c>
      <c r="D198" t="n">
        <v>50</v>
      </c>
      <c r="E198" t="n">
        <v>1.2226</v>
      </c>
      <c r="F198" t="n">
        <v>73.36</v>
      </c>
      <c r="G198">
        <f>H198/60</f>
        <v/>
      </c>
      <c r="H198">
        <f>MEDIAN(0,0,0,I197,I198,I199,I200,I201,I202)</f>
        <v/>
      </c>
      <c r="I198" t="n">
        <v>54</v>
      </c>
      <c r="J198">
        <f>H198-F198</f>
        <v/>
      </c>
      <c r="K198">
        <f>ABS(J198)</f>
        <v/>
      </c>
      <c r="L198">
        <f>K198/F198*100</f>
        <v/>
      </c>
    </row>
    <row r="199">
      <c r="A199" t="inlineStr">
        <is>
          <t>subject06</t>
        </is>
      </c>
      <c r="B199" t="n">
        <v>3</v>
      </c>
      <c r="C199" t="n">
        <v>20</v>
      </c>
      <c r="D199" t="n">
        <v>60</v>
      </c>
      <c r="E199" t="n">
        <v>1.2073</v>
      </c>
      <c r="F199" t="n">
        <v>72.44</v>
      </c>
      <c r="G199">
        <f>H199/60</f>
        <v/>
      </c>
      <c r="H199">
        <f>MEDIAN(0,0,I197,I198,I199,I200,I201,I202,I203)</f>
        <v/>
      </c>
      <c r="I199" t="n">
        <v>64.5</v>
      </c>
      <c r="J199">
        <f>H199-F199</f>
        <v/>
      </c>
      <c r="K199">
        <f>ABS(J199)</f>
        <v/>
      </c>
      <c r="L199">
        <f>K199/F199*100</f>
        <v/>
      </c>
    </row>
    <row r="200">
      <c r="A200" t="inlineStr">
        <is>
          <t>subject06</t>
        </is>
      </c>
      <c r="B200" t="n">
        <v>4</v>
      </c>
      <c r="C200" t="n">
        <v>30</v>
      </c>
      <c r="D200" t="n">
        <v>70</v>
      </c>
      <c r="E200" t="n">
        <v>1.1924</v>
      </c>
      <c r="F200" t="n">
        <v>71.54000000000001</v>
      </c>
      <c r="G200">
        <f>H200/60</f>
        <v/>
      </c>
      <c r="H200">
        <f>MEDIAN(0,I197,I198,I199,I200,I201,I202,I203,I204)</f>
        <v/>
      </c>
      <c r="I200" t="n">
        <v>63</v>
      </c>
      <c r="J200">
        <f>H200-F200</f>
        <v/>
      </c>
      <c r="K200">
        <f>ABS(J200)</f>
        <v/>
      </c>
      <c r="L200">
        <f>K200/F200*100</f>
        <v/>
      </c>
    </row>
    <row r="201">
      <c r="A201" t="inlineStr">
        <is>
          <t>subject06</t>
        </is>
      </c>
      <c r="B201" t="n">
        <v>5</v>
      </c>
      <c r="C201" t="n">
        <v>40</v>
      </c>
      <c r="D201" t="n">
        <v>80</v>
      </c>
      <c r="E201" t="n">
        <v>1.1894</v>
      </c>
      <c r="F201" t="n">
        <v>71.36</v>
      </c>
      <c r="G201">
        <f>H201/60</f>
        <v/>
      </c>
      <c r="H201">
        <f>MEDIAN(I197,I198,I199,I200,I201,I202,I203,I204,I205)</f>
        <v/>
      </c>
      <c r="I201" t="n">
        <v>76.5</v>
      </c>
      <c r="J201">
        <f>H201-F201</f>
        <v/>
      </c>
      <c r="K201">
        <f>ABS(J201)</f>
        <v/>
      </c>
      <c r="L201">
        <f>K201/F201*100</f>
        <v/>
      </c>
    </row>
    <row r="202">
      <c r="A202" t="inlineStr">
        <is>
          <t>subject06</t>
        </is>
      </c>
      <c r="B202" t="n">
        <v>6</v>
      </c>
      <c r="C202" t="n">
        <v>50</v>
      </c>
      <c r="D202" t="n">
        <v>90</v>
      </c>
      <c r="E202" t="n">
        <v>1.1855</v>
      </c>
      <c r="F202" t="n">
        <v>71.13</v>
      </c>
      <c r="G202">
        <f>H202/60</f>
        <v/>
      </c>
      <c r="H202">
        <f>MEDIAN(I198,I199,I200,I201,I202,I203,I204,I205,I206)</f>
        <v/>
      </c>
      <c r="I202" t="n">
        <v>76.5</v>
      </c>
      <c r="J202">
        <f>H202-F202</f>
        <v/>
      </c>
      <c r="K202">
        <f>ABS(J202)</f>
        <v/>
      </c>
      <c r="L202">
        <f>K202/F202*100</f>
        <v/>
      </c>
    </row>
    <row r="203">
      <c r="A203" t="inlineStr">
        <is>
          <t>subject06</t>
        </is>
      </c>
      <c r="B203" t="n">
        <v>7</v>
      </c>
      <c r="C203" t="n">
        <v>60</v>
      </c>
      <c r="D203" t="n">
        <v>100</v>
      </c>
      <c r="E203" t="n">
        <v>1.1928</v>
      </c>
      <c r="F203" t="n">
        <v>71.56999999999999</v>
      </c>
      <c r="G203">
        <f>H203/60</f>
        <v/>
      </c>
      <c r="H203">
        <f>MEDIAN(I199,I200,I201,I202,I203,I204,I205,I206,I207)</f>
        <v/>
      </c>
      <c r="I203" t="n">
        <v>75</v>
      </c>
      <c r="J203">
        <f>H203-F203</f>
        <v/>
      </c>
      <c r="K203">
        <f>ABS(J203)</f>
        <v/>
      </c>
      <c r="L203">
        <f>K203/F203*100</f>
        <v/>
      </c>
    </row>
    <row r="204">
      <c r="A204" t="inlineStr">
        <is>
          <t>subject06</t>
        </is>
      </c>
      <c r="B204" t="n">
        <v>8</v>
      </c>
      <c r="C204" t="n">
        <v>70</v>
      </c>
      <c r="D204" t="n">
        <v>110</v>
      </c>
      <c r="E204" t="n">
        <v>1.1981</v>
      </c>
      <c r="F204" t="n">
        <v>71.88</v>
      </c>
      <c r="G204">
        <f>H204/60</f>
        <v/>
      </c>
      <c r="H204">
        <f>MEDIAN(I200,I201,I202,I203,I204,I205,I206,I207,I208)</f>
        <v/>
      </c>
      <c r="I204" t="n">
        <v>90</v>
      </c>
      <c r="J204">
        <f>H204-F204</f>
        <v/>
      </c>
      <c r="K204">
        <f>ABS(J204)</f>
        <v/>
      </c>
      <c r="L204">
        <f>K204/F204*100</f>
        <v/>
      </c>
    </row>
    <row r="205">
      <c r="A205" t="inlineStr">
        <is>
          <t>subject06</t>
        </is>
      </c>
      <c r="B205" t="n">
        <v>9</v>
      </c>
      <c r="C205" t="n">
        <v>80</v>
      </c>
      <c r="D205" t="n">
        <v>120</v>
      </c>
      <c r="E205" t="n">
        <v>1.2124</v>
      </c>
      <c r="F205" t="n">
        <v>72.75</v>
      </c>
      <c r="G205">
        <f>H205/60</f>
        <v/>
      </c>
      <c r="H205">
        <f>MEDIAN(I201,I202,I203,I204,I205,I206,I207,I208,I209)</f>
        <v/>
      </c>
      <c r="I205" t="n">
        <v>63</v>
      </c>
      <c r="J205">
        <f>H205-F205</f>
        <v/>
      </c>
      <c r="K205">
        <f>ABS(J205)</f>
        <v/>
      </c>
      <c r="L205">
        <f>K205/F205*100</f>
        <v/>
      </c>
    </row>
    <row r="206">
      <c r="A206" t="inlineStr">
        <is>
          <t>subject06</t>
        </is>
      </c>
      <c r="B206" t="n">
        <v>10</v>
      </c>
      <c r="C206" t="n">
        <v>90</v>
      </c>
      <c r="D206" t="n">
        <v>130</v>
      </c>
      <c r="E206" t="n">
        <v>1.2247</v>
      </c>
      <c r="F206" t="n">
        <v>73.48</v>
      </c>
      <c r="G206">
        <f>H206/60</f>
        <v/>
      </c>
      <c r="H206">
        <f>MEDIAN(I202,I203,I204,I205,I206,I207,I208,I209,I210)</f>
        <v/>
      </c>
      <c r="I206" t="n">
        <v>78</v>
      </c>
      <c r="J206">
        <f>H206-F206</f>
        <v/>
      </c>
      <c r="K206">
        <f>ABS(J206)</f>
        <v/>
      </c>
      <c r="L206">
        <f>K206/F206*100</f>
        <v/>
      </c>
    </row>
    <row r="207">
      <c r="A207" t="inlineStr">
        <is>
          <t>subject06</t>
        </is>
      </c>
      <c r="B207" t="n">
        <v>11</v>
      </c>
      <c r="C207" t="n">
        <v>100</v>
      </c>
      <c r="D207" t="n">
        <v>140</v>
      </c>
      <c r="E207" t="n">
        <v>1.2178</v>
      </c>
      <c r="F207" t="n">
        <v>73.06999999999999</v>
      </c>
      <c r="G207">
        <f>H207/60</f>
        <v/>
      </c>
      <c r="H207">
        <f>MEDIAN(I203,I204,I205,I206,I207,I208,I209,I210,I211)</f>
        <v/>
      </c>
      <c r="I207" t="n">
        <v>79.5</v>
      </c>
      <c r="J207">
        <f>H207-F207</f>
        <v/>
      </c>
      <c r="K207">
        <f>ABS(J207)</f>
        <v/>
      </c>
      <c r="L207">
        <f>K207/F207*100</f>
        <v/>
      </c>
    </row>
    <row r="208">
      <c r="A208" t="inlineStr">
        <is>
          <t>subject06</t>
        </is>
      </c>
      <c r="B208" t="n">
        <v>12</v>
      </c>
      <c r="C208" t="n">
        <v>110</v>
      </c>
      <c r="D208" t="n">
        <v>150</v>
      </c>
      <c r="E208" t="n">
        <v>1.2307</v>
      </c>
      <c r="F208" t="n">
        <v>73.84</v>
      </c>
      <c r="G208">
        <f>H208/60</f>
        <v/>
      </c>
      <c r="H208">
        <f>MEDIAN(I204,I205,I206,I207,I208,I209,I210,I211,I212)</f>
        <v/>
      </c>
      <c r="I208" t="n">
        <v>91.5</v>
      </c>
      <c r="J208">
        <f>H208-F208</f>
        <v/>
      </c>
      <c r="K208">
        <f>ABS(J208)</f>
        <v/>
      </c>
      <c r="L208">
        <f>K208/F208*100</f>
        <v/>
      </c>
    </row>
    <row r="209">
      <c r="A209" t="inlineStr">
        <is>
          <t>subject06</t>
        </is>
      </c>
      <c r="B209" t="n">
        <v>13</v>
      </c>
      <c r="C209" t="n">
        <v>120</v>
      </c>
      <c r="D209" t="n">
        <v>160</v>
      </c>
      <c r="E209" t="n">
        <v>1.2219</v>
      </c>
      <c r="F209" t="n">
        <v>73.31999999999999</v>
      </c>
      <c r="G209">
        <f>H209/60</f>
        <v/>
      </c>
      <c r="H209">
        <f>MEDIAN(I205,I206,I207,I208,I209,I210,I211,I212,I213)</f>
        <v/>
      </c>
      <c r="I209" t="n">
        <v>85.5</v>
      </c>
      <c r="J209">
        <f>H209-F209</f>
        <v/>
      </c>
      <c r="K209">
        <f>ABS(J209)</f>
        <v/>
      </c>
      <c r="L209">
        <f>K209/F209*100</f>
        <v/>
      </c>
    </row>
    <row r="210">
      <c r="A210" t="inlineStr">
        <is>
          <t>subject06</t>
        </is>
      </c>
      <c r="B210" t="n">
        <v>14</v>
      </c>
      <c r="C210" t="n">
        <v>130</v>
      </c>
      <c r="D210" t="n">
        <v>170</v>
      </c>
      <c r="E210" t="n">
        <v>1.214</v>
      </c>
      <c r="F210" t="n">
        <v>72.84</v>
      </c>
      <c r="G210">
        <f>H210/60</f>
        <v/>
      </c>
      <c r="H210">
        <f>MEDIAN(I206,I207,I208,I209,I210,I211,I212,I213,I214)</f>
        <v/>
      </c>
      <c r="I210" t="n">
        <v>84</v>
      </c>
      <c r="J210">
        <f>H210-F210</f>
        <v/>
      </c>
      <c r="K210">
        <f>ABS(J210)</f>
        <v/>
      </c>
      <c r="L210">
        <f>K210/F210*100</f>
        <v/>
      </c>
    </row>
    <row r="211">
      <c r="A211" t="inlineStr">
        <is>
          <t>subject06</t>
        </is>
      </c>
      <c r="B211" t="n">
        <v>15</v>
      </c>
      <c r="C211" t="n">
        <v>140</v>
      </c>
      <c r="D211" t="n">
        <v>180</v>
      </c>
      <c r="E211" t="n">
        <v>1.2284</v>
      </c>
      <c r="F211" t="n">
        <v>73.70999999999999</v>
      </c>
      <c r="G211">
        <f>H211/60</f>
        <v/>
      </c>
      <c r="H211">
        <f>MEDIAN(I207,I208,I209,I210,I211,I212,I213,I214,I215)</f>
        <v/>
      </c>
      <c r="I211" t="n">
        <v>55.5</v>
      </c>
      <c r="J211">
        <f>H211-F211</f>
        <v/>
      </c>
      <c r="K211">
        <f>ABS(J211)</f>
        <v/>
      </c>
      <c r="L211">
        <f>K211/F211*100</f>
        <v/>
      </c>
    </row>
    <row r="212">
      <c r="A212" t="inlineStr">
        <is>
          <t>subject06</t>
        </is>
      </c>
      <c r="B212" t="n">
        <v>16</v>
      </c>
      <c r="C212" t="n">
        <v>150</v>
      </c>
      <c r="D212" t="n">
        <v>190</v>
      </c>
      <c r="E212" t="n">
        <v>1.2118</v>
      </c>
      <c r="F212" t="n">
        <v>72.70999999999999</v>
      </c>
      <c r="G212">
        <f>H212/60</f>
        <v/>
      </c>
      <c r="H212">
        <f>MEDIAN(I208,I209,I210,I211,I212,I213,I214,I215,I216)</f>
        <v/>
      </c>
      <c r="I212" t="n">
        <v>55.5</v>
      </c>
      <c r="J212">
        <f>H212-F212</f>
        <v/>
      </c>
      <c r="K212">
        <f>ABS(J212)</f>
        <v/>
      </c>
      <c r="L212">
        <f>K212/F212*100</f>
        <v/>
      </c>
    </row>
    <row r="213">
      <c r="A213" t="inlineStr">
        <is>
          <t>subject06</t>
        </is>
      </c>
      <c r="B213" t="n">
        <v>17</v>
      </c>
      <c r="C213" t="n">
        <v>160</v>
      </c>
      <c r="D213" t="n">
        <v>200</v>
      </c>
      <c r="E213" t="n">
        <v>1.218</v>
      </c>
      <c r="F213" t="n">
        <v>73.08</v>
      </c>
      <c r="G213">
        <f>H213/60</f>
        <v/>
      </c>
      <c r="H213">
        <f>MEDIAN(I209,I210,I211,I212,I213,I214,I215,I216,I217)</f>
        <v/>
      </c>
      <c r="I213" t="n">
        <v>54</v>
      </c>
      <c r="J213">
        <f>H213-F213</f>
        <v/>
      </c>
      <c r="K213">
        <f>ABS(J213)</f>
        <v/>
      </c>
      <c r="L213">
        <f>K213/F213*100</f>
        <v/>
      </c>
    </row>
    <row r="214">
      <c r="A214" t="inlineStr">
        <is>
          <t>subject06</t>
        </is>
      </c>
      <c r="B214" t="n">
        <v>18</v>
      </c>
      <c r="C214" t="n">
        <v>170</v>
      </c>
      <c r="D214" t="n">
        <v>210</v>
      </c>
      <c r="E214" t="n">
        <v>1.2152</v>
      </c>
      <c r="F214" t="n">
        <v>72.91</v>
      </c>
      <c r="G214">
        <f>H214/60</f>
        <v/>
      </c>
      <c r="H214">
        <f>MEDIAN(I210,I211,I212,I213,I214,I215,I216,I217,I218)</f>
        <v/>
      </c>
      <c r="I214" t="n">
        <v>52.5</v>
      </c>
      <c r="J214">
        <f>H214-F214</f>
        <v/>
      </c>
      <c r="K214">
        <f>ABS(J214)</f>
        <v/>
      </c>
      <c r="L214">
        <f>K214/F214*100</f>
        <v/>
      </c>
    </row>
    <row r="215">
      <c r="A215" t="inlineStr">
        <is>
          <t>subject06</t>
        </is>
      </c>
      <c r="B215" t="n">
        <v>19</v>
      </c>
      <c r="C215" t="n">
        <v>180</v>
      </c>
      <c r="D215" t="n">
        <v>220</v>
      </c>
      <c r="E215" t="n">
        <v>1.2179</v>
      </c>
      <c r="F215" t="n">
        <v>73.08</v>
      </c>
      <c r="G215">
        <f>H215/60</f>
        <v/>
      </c>
      <c r="H215">
        <f>MEDIAN(I211,I212,I213,I214,I215,I216,I217,I218,I219)</f>
        <v/>
      </c>
      <c r="I215" t="n">
        <v>63</v>
      </c>
      <c r="J215">
        <f>H215-F215</f>
        <v/>
      </c>
      <c r="K215">
        <f>ABS(J215)</f>
        <v/>
      </c>
      <c r="L215">
        <f>K215/F215*100</f>
        <v/>
      </c>
    </row>
    <row r="216">
      <c r="A216" t="inlineStr">
        <is>
          <t>subject06</t>
        </is>
      </c>
      <c r="B216" t="n">
        <v>20</v>
      </c>
      <c r="C216" t="n">
        <v>190</v>
      </c>
      <c r="D216" t="n">
        <v>230</v>
      </c>
      <c r="E216" t="n">
        <v>1.2205</v>
      </c>
      <c r="F216" t="n">
        <v>73.23</v>
      </c>
      <c r="G216">
        <f>H216/60</f>
        <v/>
      </c>
      <c r="H216">
        <f>MEDIAN(I212,I213,I214,I215,I216,I217,I218,I219,I220)</f>
        <v/>
      </c>
      <c r="I216" t="n">
        <v>67.5</v>
      </c>
      <c r="J216">
        <f>H216-F216</f>
        <v/>
      </c>
      <c r="K216">
        <f>ABS(J216)</f>
        <v/>
      </c>
      <c r="L216">
        <f>K216/F216*100</f>
        <v/>
      </c>
    </row>
    <row r="217">
      <c r="A217" t="inlineStr">
        <is>
          <t>subject06</t>
        </is>
      </c>
      <c r="B217" t="n">
        <v>21</v>
      </c>
      <c r="C217" t="n">
        <v>200</v>
      </c>
      <c r="D217" t="n">
        <v>240</v>
      </c>
      <c r="E217" t="n">
        <v>1.2156</v>
      </c>
      <c r="F217" t="n">
        <v>72.94</v>
      </c>
      <c r="G217">
        <f>H217/60</f>
        <v/>
      </c>
      <c r="H217">
        <f>MEDIAN(I213,I214,I215,I216,I217,I218,I219,I220,I221)</f>
        <v/>
      </c>
      <c r="I217" t="n">
        <v>76.5</v>
      </c>
      <c r="J217">
        <f>H217-F217</f>
        <v/>
      </c>
      <c r="K217">
        <f>ABS(J217)</f>
        <v/>
      </c>
      <c r="L217">
        <f>K217/F217*100</f>
        <v/>
      </c>
    </row>
    <row r="218">
      <c r="A218" t="inlineStr">
        <is>
          <t>subject06</t>
        </is>
      </c>
      <c r="B218" t="n">
        <v>22</v>
      </c>
      <c r="C218" t="n">
        <v>210</v>
      </c>
      <c r="D218" t="n">
        <v>250</v>
      </c>
      <c r="E218" t="n">
        <v>1.2466</v>
      </c>
      <c r="F218" t="n">
        <v>74.79000000000001</v>
      </c>
      <c r="G218">
        <f>H218/60</f>
        <v/>
      </c>
      <c r="H218">
        <f>MEDIAN(I214,I215,I216,I217,I218,I219,I220,I221,I222)</f>
        <v/>
      </c>
      <c r="I218" t="n">
        <v>63</v>
      </c>
      <c r="J218">
        <f>H218-F218</f>
        <v/>
      </c>
      <c r="K218">
        <f>ABS(J218)</f>
        <v/>
      </c>
      <c r="L218">
        <f>K218/F218*100</f>
        <v/>
      </c>
    </row>
    <row r="219">
      <c r="A219" t="inlineStr">
        <is>
          <t>subject06</t>
        </is>
      </c>
      <c r="B219" t="n">
        <v>23</v>
      </c>
      <c r="C219" t="n">
        <v>220</v>
      </c>
      <c r="D219" t="n">
        <v>260</v>
      </c>
      <c r="E219" t="n">
        <v>1.2386</v>
      </c>
      <c r="F219" t="n">
        <v>74.31</v>
      </c>
      <c r="G219">
        <f>H219/60</f>
        <v/>
      </c>
      <c r="H219">
        <f>MEDIAN(I215,I216,I217,I218,I219,I220,I221,I222,I223)</f>
        <v/>
      </c>
      <c r="I219" t="n">
        <v>61.5</v>
      </c>
      <c r="J219">
        <f>H219-F219</f>
        <v/>
      </c>
      <c r="K219">
        <f>ABS(J219)</f>
        <v/>
      </c>
      <c r="L219">
        <f>K219/F219*100</f>
        <v/>
      </c>
    </row>
    <row r="220">
      <c r="A220" t="inlineStr">
        <is>
          <t>subject06</t>
        </is>
      </c>
      <c r="B220" t="n">
        <v>24</v>
      </c>
      <c r="C220" t="n">
        <v>230</v>
      </c>
      <c r="D220" t="n">
        <v>270</v>
      </c>
      <c r="E220" t="n">
        <v>1.2686</v>
      </c>
      <c r="F220" t="n">
        <v>76.12</v>
      </c>
      <c r="G220">
        <f>H220/60</f>
        <v/>
      </c>
      <c r="H220">
        <f>MEDIAN(I216,I217,I218,I219,I220,I221,I222,I223,I224)</f>
        <v/>
      </c>
      <c r="I220" t="n">
        <v>60</v>
      </c>
      <c r="J220">
        <f>H220-F220</f>
        <v/>
      </c>
      <c r="K220">
        <f>ABS(J220)</f>
        <v/>
      </c>
      <c r="L220">
        <f>K220/F220*100</f>
        <v/>
      </c>
    </row>
    <row r="221">
      <c r="A221" t="inlineStr">
        <is>
          <t>subject06</t>
        </is>
      </c>
      <c r="B221" t="n">
        <v>25</v>
      </c>
      <c r="C221" t="n">
        <v>240</v>
      </c>
      <c r="D221" t="n">
        <v>280</v>
      </c>
      <c r="E221" t="n">
        <v>1.3007</v>
      </c>
      <c r="F221" t="n">
        <v>78.04000000000001</v>
      </c>
      <c r="G221">
        <f>H221/60</f>
        <v/>
      </c>
      <c r="H221">
        <f>MEDIAN(I217,I218,I219,I220,I221,I222,I223,I224,I225)</f>
        <v/>
      </c>
      <c r="I221" t="n">
        <v>75</v>
      </c>
      <c r="J221">
        <f>H221-F221</f>
        <v/>
      </c>
      <c r="K221">
        <f>ABS(J221)</f>
        <v/>
      </c>
      <c r="L221">
        <f>K221/F221*100</f>
        <v/>
      </c>
    </row>
    <row r="222">
      <c r="A222" t="inlineStr">
        <is>
          <t>subject06</t>
        </is>
      </c>
      <c r="B222" t="n">
        <v>26</v>
      </c>
      <c r="C222" t="n">
        <v>250</v>
      </c>
      <c r="D222" t="n">
        <v>290</v>
      </c>
      <c r="E222" t="n">
        <v>1.2918</v>
      </c>
      <c r="F222" t="n">
        <v>77.51000000000001</v>
      </c>
      <c r="G222">
        <f>H222/60</f>
        <v/>
      </c>
      <c r="H222">
        <f>MEDIAN(I218,I219,I220,I221,I222,I223,I224,I225,I226)</f>
        <v/>
      </c>
      <c r="I222" t="n">
        <v>75</v>
      </c>
      <c r="J222">
        <f>H222-F222</f>
        <v/>
      </c>
      <c r="K222">
        <f>ABS(J222)</f>
        <v/>
      </c>
      <c r="L222">
        <f>K222/F222*100</f>
        <v/>
      </c>
    </row>
    <row r="223">
      <c r="A223" t="inlineStr">
        <is>
          <t>subject06</t>
        </is>
      </c>
      <c r="B223" t="n">
        <v>27</v>
      </c>
      <c r="C223" t="n">
        <v>260</v>
      </c>
      <c r="D223" t="n">
        <v>300</v>
      </c>
      <c r="E223" t="n">
        <v>1.297</v>
      </c>
      <c r="F223" t="n">
        <v>77.81999999999999</v>
      </c>
      <c r="G223">
        <f>H223/60</f>
        <v/>
      </c>
      <c r="H223">
        <f>MEDIAN(I219,I220,I221,I222,I223,I224,I225,I226,I227)</f>
        <v/>
      </c>
      <c r="I223" t="n">
        <v>75</v>
      </c>
      <c r="J223">
        <f>H223-F223</f>
        <v/>
      </c>
      <c r="K223">
        <f>ABS(J223)</f>
        <v/>
      </c>
      <c r="L223">
        <f>K223/F223*100</f>
        <v/>
      </c>
    </row>
    <row r="224">
      <c r="A224" t="inlineStr">
        <is>
          <t>subject06</t>
        </is>
      </c>
      <c r="B224" t="n">
        <v>28</v>
      </c>
      <c r="C224" t="n">
        <v>270</v>
      </c>
      <c r="D224" t="n">
        <v>310</v>
      </c>
      <c r="E224" t="n">
        <v>1.305</v>
      </c>
      <c r="F224" t="n">
        <v>78.3</v>
      </c>
      <c r="G224">
        <f>H224/60</f>
        <v/>
      </c>
      <c r="H224">
        <f>MEDIAN(I220,I221,I222,I223,I224,I225,I226,I227,I228)</f>
        <v/>
      </c>
      <c r="I224" t="n">
        <v>75</v>
      </c>
      <c r="J224">
        <f>H224-F224</f>
        <v/>
      </c>
      <c r="K224">
        <f>ABS(J224)</f>
        <v/>
      </c>
      <c r="L224">
        <f>K224/F224*100</f>
        <v/>
      </c>
    </row>
    <row r="225">
      <c r="A225" t="inlineStr">
        <is>
          <t>subject06</t>
        </is>
      </c>
      <c r="B225" t="n">
        <v>29</v>
      </c>
      <c r="C225" t="n">
        <v>280</v>
      </c>
      <c r="D225" t="n">
        <v>320</v>
      </c>
      <c r="E225" t="n">
        <v>1.3536</v>
      </c>
      <c r="F225" t="n">
        <v>81.22</v>
      </c>
      <c r="G225">
        <f>H225/60</f>
        <v/>
      </c>
      <c r="H225">
        <f>MEDIAN(I221,I222,I223,I224,I225,I226,I227,I228,I229)</f>
        <v/>
      </c>
      <c r="I225" t="n">
        <v>85.5</v>
      </c>
      <c r="J225">
        <f>H225-F225</f>
        <v/>
      </c>
      <c r="K225">
        <f>ABS(J225)</f>
        <v/>
      </c>
      <c r="L225">
        <f>K225/F225*100</f>
        <v/>
      </c>
    </row>
    <row r="226">
      <c r="A226" t="inlineStr">
        <is>
          <t>subject06</t>
        </is>
      </c>
      <c r="B226" t="n">
        <v>30</v>
      </c>
      <c r="C226" t="n">
        <v>290</v>
      </c>
      <c r="D226" t="n">
        <v>330</v>
      </c>
      <c r="E226" t="n">
        <v>1.3639</v>
      </c>
      <c r="F226" t="n">
        <v>81.83</v>
      </c>
      <c r="G226">
        <f>H226/60</f>
        <v/>
      </c>
      <c r="H226">
        <f>MEDIAN(I222,I223,I224,I225,I226,I227,I228,I229,I230)</f>
        <v/>
      </c>
      <c r="I226" t="n">
        <v>60</v>
      </c>
      <c r="J226">
        <f>H226-F226</f>
        <v/>
      </c>
      <c r="K226">
        <f>ABS(J226)</f>
        <v/>
      </c>
      <c r="L226">
        <f>K226/F226*100</f>
        <v/>
      </c>
    </row>
    <row r="227">
      <c r="A227" t="inlineStr">
        <is>
          <t>subject06</t>
        </is>
      </c>
      <c r="B227" t="n">
        <v>31</v>
      </c>
      <c r="C227" t="n">
        <v>300</v>
      </c>
      <c r="D227" t="n">
        <v>340</v>
      </c>
      <c r="E227" t="n">
        <v>1.3786</v>
      </c>
      <c r="F227" t="n">
        <v>82.72</v>
      </c>
      <c r="G227">
        <f>H227/60</f>
        <v/>
      </c>
      <c r="H227">
        <f>MEDIAN(I223,I224,I225,I226,I227,I228,I229,I230,I231)</f>
        <v/>
      </c>
      <c r="I227" t="n">
        <v>60</v>
      </c>
      <c r="J227">
        <f>H227-F227</f>
        <v/>
      </c>
      <c r="K227">
        <f>ABS(J227)</f>
        <v/>
      </c>
      <c r="L227">
        <f>K227/F227*100</f>
        <v/>
      </c>
    </row>
    <row r="228">
      <c r="A228" t="inlineStr">
        <is>
          <t>subject06</t>
        </is>
      </c>
      <c r="B228" t="n">
        <v>32</v>
      </c>
      <c r="C228" t="n">
        <v>310</v>
      </c>
      <c r="D228" t="n">
        <v>350</v>
      </c>
      <c r="E228" t="n">
        <v>1.3743</v>
      </c>
      <c r="F228" t="n">
        <v>82.45999999999999</v>
      </c>
      <c r="G228">
        <f>H228/60</f>
        <v/>
      </c>
      <c r="H228">
        <f>MEDIAN(I224,I225,I226,I227,I228,I229,I230,I231,I232)</f>
        <v/>
      </c>
      <c r="I228" t="n">
        <v>60</v>
      </c>
      <c r="J228">
        <f>H228-F228</f>
        <v/>
      </c>
      <c r="K228">
        <f>ABS(J228)</f>
        <v/>
      </c>
      <c r="L228">
        <f>K228/F228*100</f>
        <v/>
      </c>
    </row>
    <row r="229">
      <c r="A229" t="inlineStr">
        <is>
          <t>subject06</t>
        </is>
      </c>
      <c r="B229" t="n">
        <v>33</v>
      </c>
      <c r="C229" t="n">
        <v>320</v>
      </c>
      <c r="D229" t="n">
        <v>360</v>
      </c>
      <c r="E229" t="n">
        <v>1.3196</v>
      </c>
      <c r="F229" t="n">
        <v>79.18000000000001</v>
      </c>
      <c r="G229">
        <f>H229/60</f>
        <v/>
      </c>
      <c r="H229">
        <f>MEDIAN(I225,I226,I227,I228,I229,I230,I231,I232,I233)</f>
        <v/>
      </c>
      <c r="I229" t="n">
        <v>60</v>
      </c>
      <c r="J229">
        <f>H229-F229</f>
        <v/>
      </c>
      <c r="K229">
        <f>ABS(J229)</f>
        <v/>
      </c>
      <c r="L229">
        <f>K229/F229*100</f>
        <v/>
      </c>
    </row>
    <row r="230">
      <c r="A230" t="inlineStr">
        <is>
          <t>subject06</t>
        </is>
      </c>
      <c r="B230" t="n">
        <v>34</v>
      </c>
      <c r="C230" t="n">
        <v>330</v>
      </c>
      <c r="D230" t="n">
        <v>370</v>
      </c>
      <c r="E230" t="n">
        <v>1.308</v>
      </c>
      <c r="F230" t="n">
        <v>78.48</v>
      </c>
      <c r="G230">
        <f>H230/60</f>
        <v/>
      </c>
      <c r="H230">
        <f>MEDIAN(I226,I227,I228,I229,I230,I231,I232,I233,I234)</f>
        <v/>
      </c>
      <c r="I230" t="n">
        <v>78</v>
      </c>
      <c r="J230">
        <f>H230-F230</f>
        <v/>
      </c>
      <c r="K230">
        <f>ABS(J230)</f>
        <v/>
      </c>
      <c r="L230">
        <f>K230/F230*100</f>
        <v/>
      </c>
    </row>
    <row r="231">
      <c r="A231" t="inlineStr">
        <is>
          <t>subject06</t>
        </is>
      </c>
      <c r="B231" t="n">
        <v>35</v>
      </c>
      <c r="C231" t="n">
        <v>340</v>
      </c>
      <c r="D231" t="n">
        <v>380</v>
      </c>
      <c r="E231" t="n">
        <v>1.2875</v>
      </c>
      <c r="F231" t="n">
        <v>77.25</v>
      </c>
      <c r="G231">
        <f>H231/60</f>
        <v/>
      </c>
      <c r="H231">
        <f>MEDIAN(I227,I228,I229,I230,I231,I232,I233,I234,I235)</f>
        <v/>
      </c>
      <c r="I231" t="n">
        <v>51</v>
      </c>
      <c r="J231">
        <f>H231-F231</f>
        <v/>
      </c>
      <c r="K231">
        <f>ABS(J231)</f>
        <v/>
      </c>
      <c r="L231">
        <f>K231/F231*100</f>
        <v/>
      </c>
    </row>
    <row r="232">
      <c r="A232" t="inlineStr">
        <is>
          <t>subject06</t>
        </is>
      </c>
      <c r="B232" t="n">
        <v>36</v>
      </c>
      <c r="C232" t="n">
        <v>350</v>
      </c>
      <c r="D232" t="n">
        <v>390</v>
      </c>
      <c r="E232" t="n">
        <v>1.3058</v>
      </c>
      <c r="F232" t="n">
        <v>78.34999999999999</v>
      </c>
      <c r="G232">
        <f>H232/60</f>
        <v/>
      </c>
      <c r="H232">
        <f>MEDIAN(I228,I229,I230,I231,I232,I233,I234,I235,I236)</f>
        <v/>
      </c>
      <c r="I232" t="n">
        <v>81</v>
      </c>
      <c r="J232">
        <f>H232-F232</f>
        <v/>
      </c>
      <c r="K232">
        <f>ABS(J232)</f>
        <v/>
      </c>
      <c r="L232">
        <f>K232/F232*100</f>
        <v/>
      </c>
    </row>
    <row r="233">
      <c r="A233" t="inlineStr">
        <is>
          <t>subject06</t>
        </is>
      </c>
      <c r="B233" t="n">
        <v>37</v>
      </c>
      <c r="C233" t="n">
        <v>360</v>
      </c>
      <c r="D233" t="n">
        <v>400</v>
      </c>
      <c r="E233" t="n">
        <v>1.3171</v>
      </c>
      <c r="F233" t="n">
        <v>79.03</v>
      </c>
      <c r="G233">
        <f>H233/60</f>
        <v/>
      </c>
      <c r="H233">
        <f>MEDIAN(I229,I230,I231,I232,I233,I234,I235,I236,I237)</f>
        <v/>
      </c>
      <c r="I233" t="n">
        <v>81</v>
      </c>
      <c r="J233">
        <f>H233-F233</f>
        <v/>
      </c>
      <c r="K233">
        <f>ABS(J233)</f>
        <v/>
      </c>
      <c r="L233">
        <f>K233/F233*100</f>
        <v/>
      </c>
    </row>
    <row r="234">
      <c r="A234" t="inlineStr">
        <is>
          <t>subject06</t>
        </is>
      </c>
      <c r="B234" t="n">
        <v>38</v>
      </c>
      <c r="C234" t="n">
        <v>370</v>
      </c>
      <c r="D234" t="n">
        <v>410</v>
      </c>
      <c r="E234" t="n">
        <v>1.3647</v>
      </c>
      <c r="F234" t="n">
        <v>81.88</v>
      </c>
      <c r="G234">
        <f>H234/60</f>
        <v/>
      </c>
      <c r="H234">
        <f>MEDIAN(I230,I231,I232,I233,I234,I235,I236,I237,I238)</f>
        <v/>
      </c>
      <c r="I234" t="n">
        <v>85.5</v>
      </c>
      <c r="J234">
        <f>H234-F234</f>
        <v/>
      </c>
      <c r="K234">
        <f>ABS(J234)</f>
        <v/>
      </c>
      <c r="L234">
        <f>K234/F234*100</f>
        <v/>
      </c>
    </row>
    <row r="235">
      <c r="A235" t="inlineStr">
        <is>
          <t>subject06</t>
        </is>
      </c>
      <c r="B235" t="n">
        <v>39</v>
      </c>
      <c r="C235" t="n">
        <v>380</v>
      </c>
      <c r="D235" t="n">
        <v>420</v>
      </c>
      <c r="E235" t="n">
        <v>1.375</v>
      </c>
      <c r="F235" t="n">
        <v>82.5</v>
      </c>
      <c r="G235">
        <f>H235/60</f>
        <v/>
      </c>
      <c r="H235">
        <f>MEDIAN(I231,I232,I233,I234,I235,I236,I237,I238,0)</f>
        <v/>
      </c>
      <c r="I235" t="n">
        <v>54</v>
      </c>
      <c r="J235">
        <f>H235-F235</f>
        <v/>
      </c>
      <c r="K235">
        <f>ABS(J235)</f>
        <v/>
      </c>
      <c r="L235">
        <f>K235/F235*100</f>
        <v/>
      </c>
    </row>
    <row r="236">
      <c r="A236" t="inlineStr">
        <is>
          <t>subject06</t>
        </is>
      </c>
      <c r="B236" t="n">
        <v>40</v>
      </c>
      <c r="C236" t="n">
        <v>390</v>
      </c>
      <c r="D236" t="n">
        <v>430</v>
      </c>
      <c r="E236" t="n">
        <v>1.3631</v>
      </c>
      <c r="F236" t="n">
        <v>81.79000000000001</v>
      </c>
      <c r="G236">
        <f>H236/60</f>
        <v/>
      </c>
      <c r="H236">
        <f>MEDIAN(I232,I233,I234,I235,I236,I237,I238,0,0)</f>
        <v/>
      </c>
      <c r="I236" t="n">
        <v>73.5</v>
      </c>
      <c r="J236">
        <f>H236-F236</f>
        <v/>
      </c>
      <c r="K236">
        <f>ABS(J236)</f>
        <v/>
      </c>
      <c r="L236">
        <f>K236/F236*100</f>
        <v/>
      </c>
    </row>
    <row r="237">
      <c r="A237" t="inlineStr">
        <is>
          <t>subject06</t>
        </is>
      </c>
      <c r="B237" t="n">
        <v>41</v>
      </c>
      <c r="C237" t="n">
        <v>400</v>
      </c>
      <c r="D237" t="n">
        <v>440</v>
      </c>
      <c r="E237" t="n">
        <v>1.3529</v>
      </c>
      <c r="F237" t="n">
        <v>81.17</v>
      </c>
      <c r="G237">
        <f>H237/60</f>
        <v/>
      </c>
      <c r="H237">
        <f>MEDIAN(I233,I234,I235,I236,I237,I238,0,0,0)</f>
        <v/>
      </c>
      <c r="I237" t="n">
        <v>75</v>
      </c>
      <c r="J237">
        <f>H237-F237</f>
        <v/>
      </c>
      <c r="K237">
        <f>ABS(J237)</f>
        <v/>
      </c>
      <c r="L237">
        <f>K237/F237*100</f>
        <v/>
      </c>
    </row>
    <row r="238">
      <c r="A238" t="inlineStr">
        <is>
          <t>subject06</t>
        </is>
      </c>
      <c r="B238" t="n">
        <v>42</v>
      </c>
      <c r="C238" t="n">
        <v>410</v>
      </c>
      <c r="D238" t="n">
        <v>450</v>
      </c>
      <c r="E238" t="n">
        <v>1.3482</v>
      </c>
      <c r="F238" t="n">
        <v>80.89</v>
      </c>
      <c r="G238">
        <f>H238/60</f>
        <v/>
      </c>
      <c r="H238">
        <f>MEDIAN(I234,I235,I236,I237,I238,0,0,0,0)</f>
        <v/>
      </c>
      <c r="I238" t="n">
        <v>64.5</v>
      </c>
      <c r="J238">
        <f>H238-F238</f>
        <v/>
      </c>
      <c r="K238">
        <f>ABS(J238)</f>
        <v/>
      </c>
      <c r="L238">
        <f>K238/F238*100</f>
        <v/>
      </c>
    </row>
    <row r="239">
      <c r="A239" t="inlineStr">
        <is>
          <t>subject07</t>
        </is>
      </c>
      <c r="B239" t="n">
        <v>1</v>
      </c>
      <c r="C239" t="n">
        <v>0</v>
      </c>
      <c r="D239" t="n">
        <v>40</v>
      </c>
      <c r="E239" t="n">
        <v>1.0862</v>
      </c>
      <c r="F239" t="n">
        <v>65.17</v>
      </c>
      <c r="G239">
        <f>H239/60</f>
        <v/>
      </c>
      <c r="H239">
        <f>MEDIAN(0,0,0,0,I239,I240,I241,I242,I243)</f>
        <v/>
      </c>
      <c r="I239" t="n">
        <v>66</v>
      </c>
      <c r="J239">
        <f>H239-F239</f>
        <v/>
      </c>
      <c r="K239">
        <f>ABS(J239)</f>
        <v/>
      </c>
      <c r="L239">
        <f>K239/F239*100</f>
        <v/>
      </c>
    </row>
    <row r="240">
      <c r="A240" t="inlineStr">
        <is>
          <t>subject07</t>
        </is>
      </c>
      <c r="B240" t="n">
        <v>2</v>
      </c>
      <c r="C240" t="n">
        <v>10</v>
      </c>
      <c r="D240" t="n">
        <v>50</v>
      </c>
      <c r="E240" t="n">
        <v>1.0985</v>
      </c>
      <c r="F240" t="n">
        <v>65.91</v>
      </c>
      <c r="G240">
        <f>H240/60</f>
        <v/>
      </c>
      <c r="H240">
        <f>MEDIAN(0,0,0,I239,I240,I241,I242,I243,I244)</f>
        <v/>
      </c>
      <c r="I240" t="n">
        <v>66</v>
      </c>
      <c r="J240">
        <f>H240-F240</f>
        <v/>
      </c>
      <c r="K240">
        <f>ABS(J240)</f>
        <v/>
      </c>
      <c r="L240">
        <f>K240/F240*100</f>
        <v/>
      </c>
    </row>
    <row r="241">
      <c r="A241" t="inlineStr">
        <is>
          <t>subject07</t>
        </is>
      </c>
      <c r="B241" t="n">
        <v>3</v>
      </c>
      <c r="C241" t="n">
        <v>20</v>
      </c>
      <c r="D241" t="n">
        <v>60</v>
      </c>
      <c r="E241" t="n">
        <v>1.1096</v>
      </c>
      <c r="F241" t="n">
        <v>66.58</v>
      </c>
      <c r="G241">
        <f>H241/60</f>
        <v/>
      </c>
      <c r="H241">
        <f>MEDIAN(0,0,I239,I240,I241,I242,I243,I244,I245)</f>
        <v/>
      </c>
      <c r="I241" t="n">
        <v>66</v>
      </c>
      <c r="J241">
        <f>H241-F241</f>
        <v/>
      </c>
      <c r="K241">
        <f>ABS(J241)</f>
        <v/>
      </c>
      <c r="L241">
        <f>K241/F241*100</f>
        <v/>
      </c>
    </row>
    <row r="242">
      <c r="A242" t="inlineStr">
        <is>
          <t>subject07</t>
        </is>
      </c>
      <c r="B242" t="n">
        <v>4</v>
      </c>
      <c r="C242" t="n">
        <v>30</v>
      </c>
      <c r="D242" t="n">
        <v>70</v>
      </c>
      <c r="E242" t="n">
        <v>1.1059</v>
      </c>
      <c r="F242" t="n">
        <v>66.34999999999999</v>
      </c>
      <c r="G242">
        <f>H242/60</f>
        <v/>
      </c>
      <c r="H242">
        <f>MEDIAN(0,I239,I240,I241,I242,I243,I244,I245,I246)</f>
        <v/>
      </c>
      <c r="I242" t="n">
        <v>66</v>
      </c>
      <c r="J242">
        <f>H242-F242</f>
        <v/>
      </c>
      <c r="K242">
        <f>ABS(J242)</f>
        <v/>
      </c>
      <c r="L242">
        <f>K242/F242*100</f>
        <v/>
      </c>
    </row>
    <row r="243">
      <c r="A243" t="inlineStr">
        <is>
          <t>subject07</t>
        </is>
      </c>
      <c r="B243" t="n">
        <v>5</v>
      </c>
      <c r="C243" t="n">
        <v>40</v>
      </c>
      <c r="D243" t="n">
        <v>80</v>
      </c>
      <c r="E243" t="n">
        <v>1.1109</v>
      </c>
      <c r="F243" t="n">
        <v>66.66</v>
      </c>
      <c r="G243">
        <f>H243/60</f>
        <v/>
      </c>
      <c r="H243">
        <f>MEDIAN(I239,I240,I241,I242,I243,I244,I245,I246,I247)</f>
        <v/>
      </c>
      <c r="I243" t="n">
        <v>64.5</v>
      </c>
      <c r="J243">
        <f>H243-F243</f>
        <v/>
      </c>
      <c r="K243">
        <f>ABS(J243)</f>
        <v/>
      </c>
      <c r="L243">
        <f>K243/F243*100</f>
        <v/>
      </c>
    </row>
    <row r="244">
      <c r="A244" t="inlineStr">
        <is>
          <t>subject07</t>
        </is>
      </c>
      <c r="B244" t="n">
        <v>6</v>
      </c>
      <c r="C244" t="n">
        <v>50</v>
      </c>
      <c r="D244" t="n">
        <v>90</v>
      </c>
      <c r="E244" t="n">
        <v>1.1172</v>
      </c>
      <c r="F244" t="n">
        <v>67.03</v>
      </c>
      <c r="G244">
        <f>H244/60</f>
        <v/>
      </c>
      <c r="H244">
        <f>MEDIAN(I240,I241,I242,I243,I244,I245,I246,I247,I248)</f>
        <v/>
      </c>
      <c r="I244" t="n">
        <v>66</v>
      </c>
      <c r="J244">
        <f>H244-F244</f>
        <v/>
      </c>
      <c r="K244">
        <f>ABS(J244)</f>
        <v/>
      </c>
      <c r="L244">
        <f>K244/F244*100</f>
        <v/>
      </c>
    </row>
    <row r="245">
      <c r="A245" t="inlineStr">
        <is>
          <t>subject07</t>
        </is>
      </c>
      <c r="B245" t="n">
        <v>7</v>
      </c>
      <c r="C245" t="n">
        <v>60</v>
      </c>
      <c r="D245" t="n">
        <v>100</v>
      </c>
      <c r="E245" t="n">
        <v>1.1049</v>
      </c>
      <c r="F245" t="n">
        <v>66.29000000000001</v>
      </c>
      <c r="G245">
        <f>H245/60</f>
        <v/>
      </c>
      <c r="H245">
        <f>MEDIAN(I241,I242,I243,I244,I245,I246,I247,I248,I249)</f>
        <v/>
      </c>
      <c r="I245" t="n">
        <v>67.5</v>
      </c>
      <c r="J245">
        <f>H245-F245</f>
        <v/>
      </c>
      <c r="K245">
        <f>ABS(J245)</f>
        <v/>
      </c>
      <c r="L245">
        <f>K245/F245*100</f>
        <v/>
      </c>
    </row>
    <row r="246">
      <c r="A246" t="inlineStr">
        <is>
          <t>subject07</t>
        </is>
      </c>
      <c r="B246" t="n">
        <v>8</v>
      </c>
      <c r="C246" t="n">
        <v>70</v>
      </c>
      <c r="D246" t="n">
        <v>110</v>
      </c>
      <c r="E246" t="n">
        <v>1.1019</v>
      </c>
      <c r="F246" t="n">
        <v>66.11</v>
      </c>
      <c r="G246">
        <f>H246/60</f>
        <v/>
      </c>
      <c r="H246">
        <f>MEDIAN(I242,I243,I244,I245,I246,I247,I248,I249,I250)</f>
        <v/>
      </c>
      <c r="I246" t="n">
        <v>66</v>
      </c>
      <c r="J246">
        <f>H246-F246</f>
        <v/>
      </c>
      <c r="K246">
        <f>ABS(J246)</f>
        <v/>
      </c>
      <c r="L246">
        <f>K246/F246*100</f>
        <v/>
      </c>
    </row>
    <row r="247">
      <c r="A247" t="inlineStr">
        <is>
          <t>subject07</t>
        </is>
      </c>
      <c r="B247" t="n">
        <v>9</v>
      </c>
      <c r="C247" t="n">
        <v>80</v>
      </c>
      <c r="D247" t="n">
        <v>120</v>
      </c>
      <c r="E247" t="n">
        <v>1.1004</v>
      </c>
      <c r="F247" t="n">
        <v>66.02</v>
      </c>
      <c r="G247">
        <f>H247/60</f>
        <v/>
      </c>
      <c r="H247">
        <f>MEDIAN(I243,I244,I245,I246,I247,I248,I249,I250,I251)</f>
        <v/>
      </c>
      <c r="I247" t="n">
        <v>66</v>
      </c>
      <c r="J247">
        <f>H247-F247</f>
        <v/>
      </c>
      <c r="K247">
        <f>ABS(J247)</f>
        <v/>
      </c>
      <c r="L247">
        <f>K247/F247*100</f>
        <v/>
      </c>
    </row>
    <row r="248">
      <c r="A248" t="inlineStr">
        <is>
          <t>subject07</t>
        </is>
      </c>
      <c r="B248" t="n">
        <v>10</v>
      </c>
      <c r="C248" t="n">
        <v>90</v>
      </c>
      <c r="D248" t="n">
        <v>130</v>
      </c>
      <c r="E248" t="n">
        <v>1.0984</v>
      </c>
      <c r="F248" t="n">
        <v>65.91</v>
      </c>
      <c r="G248">
        <f>H248/60</f>
        <v/>
      </c>
      <c r="H248">
        <f>MEDIAN(I244,I245,I246,I247,I248,I249,I250,I251,I252)</f>
        <v/>
      </c>
      <c r="I248" t="n">
        <v>69</v>
      </c>
      <c r="J248">
        <f>H248-F248</f>
        <v/>
      </c>
      <c r="K248">
        <f>ABS(J248)</f>
        <v/>
      </c>
      <c r="L248">
        <f>K248/F248*100</f>
        <v/>
      </c>
    </row>
    <row r="249">
      <c r="A249" t="inlineStr">
        <is>
          <t>subject07</t>
        </is>
      </c>
      <c r="B249" t="n">
        <v>11</v>
      </c>
      <c r="C249" t="n">
        <v>100</v>
      </c>
      <c r="D249" t="n">
        <v>140</v>
      </c>
      <c r="E249" t="n">
        <v>1.1211</v>
      </c>
      <c r="F249" t="n">
        <v>67.27</v>
      </c>
      <c r="G249">
        <f>H249/60</f>
        <v/>
      </c>
      <c r="H249">
        <f>MEDIAN(I245,I246,I247,I248,I249,I250,I251,I252,I253)</f>
        <v/>
      </c>
      <c r="I249" t="n">
        <v>64.5</v>
      </c>
      <c r="J249">
        <f>H249-F249</f>
        <v/>
      </c>
      <c r="K249">
        <f>ABS(J249)</f>
        <v/>
      </c>
      <c r="L249">
        <f>K249/F249*100</f>
        <v/>
      </c>
    </row>
    <row r="250">
      <c r="A250" t="inlineStr">
        <is>
          <t>subject07</t>
        </is>
      </c>
      <c r="B250" t="n">
        <v>12</v>
      </c>
      <c r="C250" t="n">
        <v>110</v>
      </c>
      <c r="D250" t="n">
        <v>150</v>
      </c>
      <c r="E250" t="n">
        <v>1.1332</v>
      </c>
      <c r="F250" t="n">
        <v>67.98999999999999</v>
      </c>
      <c r="G250">
        <f>H250/60</f>
        <v/>
      </c>
      <c r="H250">
        <f>MEDIAN(I246,I247,I248,I249,I250,I251,I252,I253,I254)</f>
        <v/>
      </c>
      <c r="I250" t="n">
        <v>63</v>
      </c>
      <c r="J250">
        <f>H250-F250</f>
        <v/>
      </c>
      <c r="K250">
        <f>ABS(J250)</f>
        <v/>
      </c>
      <c r="L250">
        <f>K250/F250*100</f>
        <v/>
      </c>
    </row>
    <row r="251">
      <c r="A251" t="inlineStr">
        <is>
          <t>subject07</t>
        </is>
      </c>
      <c r="B251" t="n">
        <v>13</v>
      </c>
      <c r="C251" t="n">
        <v>120</v>
      </c>
      <c r="D251" t="n">
        <v>160</v>
      </c>
      <c r="E251" t="n">
        <v>1.1551</v>
      </c>
      <c r="F251" t="n">
        <v>69.31</v>
      </c>
      <c r="G251">
        <f>H251/60</f>
        <v/>
      </c>
      <c r="H251">
        <f>MEDIAN(I247,I248,I249,I250,I251,I252,I253,I254,I255)</f>
        <v/>
      </c>
      <c r="I251" t="n">
        <v>69</v>
      </c>
      <c r="J251">
        <f>H251-F251</f>
        <v/>
      </c>
      <c r="K251">
        <f>ABS(J251)</f>
        <v/>
      </c>
      <c r="L251">
        <f>K251/F251*100</f>
        <v/>
      </c>
    </row>
    <row r="252">
      <c r="A252" t="inlineStr">
        <is>
          <t>subject07</t>
        </is>
      </c>
      <c r="B252" t="n">
        <v>14</v>
      </c>
      <c r="C252" t="n">
        <v>130</v>
      </c>
      <c r="D252" t="n">
        <v>170</v>
      </c>
      <c r="E252" t="n">
        <v>1.1672</v>
      </c>
      <c r="F252" t="n">
        <v>70.03</v>
      </c>
      <c r="G252">
        <f>H252/60</f>
        <v/>
      </c>
      <c r="H252">
        <f>MEDIAN(I248,I249,I250,I251,I252,I253,I254,I255,I256)</f>
        <v/>
      </c>
      <c r="I252" t="n">
        <v>79.5</v>
      </c>
      <c r="J252">
        <f>H252-F252</f>
        <v/>
      </c>
      <c r="K252">
        <f>ABS(J252)</f>
        <v/>
      </c>
      <c r="L252">
        <f>K252/F252*100</f>
        <v/>
      </c>
    </row>
    <row r="253">
      <c r="A253" t="inlineStr">
        <is>
          <t>subject07</t>
        </is>
      </c>
      <c r="B253" t="n">
        <v>15</v>
      </c>
      <c r="C253" t="n">
        <v>140</v>
      </c>
      <c r="D253" t="n">
        <v>180</v>
      </c>
      <c r="E253" t="n">
        <v>1.1557</v>
      </c>
      <c r="F253" t="n">
        <v>69.34</v>
      </c>
      <c r="G253">
        <f>H253/60</f>
        <v/>
      </c>
      <c r="H253">
        <f>MEDIAN(I249,I250,I251,I252,I253,I254,I255,I256,I257)</f>
        <v/>
      </c>
      <c r="I253" t="n">
        <v>90</v>
      </c>
      <c r="J253">
        <f>H253-F253</f>
        <v/>
      </c>
      <c r="K253">
        <f>ABS(J253)</f>
        <v/>
      </c>
      <c r="L253">
        <f>K253/F253*100</f>
        <v/>
      </c>
    </row>
    <row r="254">
      <c r="A254" t="inlineStr">
        <is>
          <t>subject07</t>
        </is>
      </c>
      <c r="B254" t="n">
        <v>16</v>
      </c>
      <c r="C254" t="n">
        <v>150</v>
      </c>
      <c r="D254" t="n">
        <v>190</v>
      </c>
      <c r="E254" t="n">
        <v>1.1633</v>
      </c>
      <c r="F254" t="n">
        <v>69.8</v>
      </c>
      <c r="G254">
        <f>H254/60</f>
        <v/>
      </c>
      <c r="H254">
        <f>MEDIAN(I250,I251,I252,I253,I254,I255,I256,I257,I258)</f>
        <v/>
      </c>
      <c r="I254" t="n">
        <v>91.5</v>
      </c>
      <c r="J254">
        <f>H254-F254</f>
        <v/>
      </c>
      <c r="K254">
        <f>ABS(J254)</f>
        <v/>
      </c>
      <c r="L254">
        <f>K254/F254*100</f>
        <v/>
      </c>
    </row>
    <row r="255">
      <c r="A255" t="inlineStr">
        <is>
          <t>subject07</t>
        </is>
      </c>
      <c r="B255" t="n">
        <v>17</v>
      </c>
      <c r="C255" t="n">
        <v>160</v>
      </c>
      <c r="D255" t="n">
        <v>200</v>
      </c>
      <c r="E255" t="n">
        <v>1.1381</v>
      </c>
      <c r="F255" t="n">
        <v>68.29000000000001</v>
      </c>
      <c r="G255">
        <f>H255/60</f>
        <v/>
      </c>
      <c r="H255">
        <f>MEDIAN(I251,I252,I253,I254,I255,I256,I257,I258,I259)</f>
        <v/>
      </c>
      <c r="I255" t="n">
        <v>93</v>
      </c>
      <c r="J255">
        <f>H255-F255</f>
        <v/>
      </c>
      <c r="K255">
        <f>ABS(J255)</f>
        <v/>
      </c>
      <c r="L255">
        <f>K255/F255*100</f>
        <v/>
      </c>
    </row>
    <row r="256">
      <c r="A256" t="inlineStr">
        <is>
          <t>subject07</t>
        </is>
      </c>
      <c r="B256" t="n">
        <v>18</v>
      </c>
      <c r="C256" t="n">
        <v>170</v>
      </c>
      <c r="D256" t="n">
        <v>210</v>
      </c>
      <c r="E256" t="n">
        <v>1.1118</v>
      </c>
      <c r="F256" t="n">
        <v>66.70999999999999</v>
      </c>
      <c r="G256">
        <f>H256/60</f>
        <v/>
      </c>
      <c r="H256">
        <f>MEDIAN(I252,I253,I254,I255,I256,I257,I258,I259,I260)</f>
        <v/>
      </c>
      <c r="I256" t="n">
        <v>64.5</v>
      </c>
      <c r="J256">
        <f>H256-F256</f>
        <v/>
      </c>
      <c r="K256">
        <f>ABS(J256)</f>
        <v/>
      </c>
      <c r="L256">
        <f>K256/F256*100</f>
        <v/>
      </c>
    </row>
    <row r="257">
      <c r="A257" t="inlineStr">
        <is>
          <t>subject07</t>
        </is>
      </c>
      <c r="B257" t="n">
        <v>19</v>
      </c>
      <c r="C257" t="n">
        <v>180</v>
      </c>
      <c r="D257" t="n">
        <v>220</v>
      </c>
      <c r="E257" t="n">
        <v>1.102</v>
      </c>
      <c r="F257" t="n">
        <v>66.12</v>
      </c>
      <c r="G257">
        <f>H257/60</f>
        <v/>
      </c>
      <c r="H257">
        <f>MEDIAN(I253,I254,I255,I256,I257,I258,I259,I260,I261)</f>
        <v/>
      </c>
      <c r="I257" t="n">
        <v>64.5</v>
      </c>
      <c r="J257">
        <f>H257-F257</f>
        <v/>
      </c>
      <c r="K257">
        <f>ABS(J257)</f>
        <v/>
      </c>
      <c r="L257">
        <f>K257/F257*100</f>
        <v/>
      </c>
    </row>
    <row r="258">
      <c r="A258" t="inlineStr">
        <is>
          <t>subject07</t>
        </is>
      </c>
      <c r="B258" t="n">
        <v>20</v>
      </c>
      <c r="C258" t="n">
        <v>190</v>
      </c>
      <c r="D258" t="n">
        <v>230</v>
      </c>
      <c r="E258" t="n">
        <v>1.0907</v>
      </c>
      <c r="F258" t="n">
        <v>65.44</v>
      </c>
      <c r="G258">
        <f>H258/60</f>
        <v/>
      </c>
      <c r="H258">
        <f>MEDIAN(I254,I255,I256,I257,I258,I259,I260,I261,I262)</f>
        <v/>
      </c>
      <c r="I258" t="n">
        <v>64.5</v>
      </c>
      <c r="J258">
        <f>H258-F258</f>
        <v/>
      </c>
      <c r="K258">
        <f>ABS(J258)</f>
        <v/>
      </c>
      <c r="L258">
        <f>K258/F258*100</f>
        <v/>
      </c>
    </row>
    <row r="259">
      <c r="A259" t="inlineStr">
        <is>
          <t>subject07</t>
        </is>
      </c>
      <c r="B259" t="n">
        <v>21</v>
      </c>
      <c r="C259" t="n">
        <v>200</v>
      </c>
      <c r="D259" t="n">
        <v>240</v>
      </c>
      <c r="E259" t="n">
        <v>1.0961</v>
      </c>
      <c r="F259" t="n">
        <v>65.77</v>
      </c>
      <c r="G259">
        <f>H259/60</f>
        <v/>
      </c>
      <c r="H259">
        <f>MEDIAN(I255,I256,I257,I258,I259,I260,I261,I262,I263)</f>
        <v/>
      </c>
      <c r="I259" t="n">
        <v>103.5</v>
      </c>
      <c r="J259">
        <f>H259-F259</f>
        <v/>
      </c>
      <c r="K259">
        <f>ABS(J259)</f>
        <v/>
      </c>
      <c r="L259">
        <f>K259/F259*100</f>
        <v/>
      </c>
    </row>
    <row r="260">
      <c r="A260" t="inlineStr">
        <is>
          <t>subject07</t>
        </is>
      </c>
      <c r="B260" t="n">
        <v>22</v>
      </c>
      <c r="C260" t="n">
        <v>210</v>
      </c>
      <c r="D260" t="n">
        <v>250</v>
      </c>
      <c r="E260" t="n">
        <v>1.1016</v>
      </c>
      <c r="F260" t="n">
        <v>66.09999999999999</v>
      </c>
      <c r="G260">
        <f>H260/60</f>
        <v/>
      </c>
      <c r="H260">
        <f>MEDIAN(I256,I257,I258,I259,I260,I261,I262,I263,I264)</f>
        <v/>
      </c>
      <c r="I260" t="n">
        <v>66</v>
      </c>
      <c r="J260">
        <f>H260-F260</f>
        <v/>
      </c>
      <c r="K260">
        <f>ABS(J260)</f>
        <v/>
      </c>
      <c r="L260">
        <f>K260/F260*100</f>
        <v/>
      </c>
    </row>
    <row r="261">
      <c r="A261" t="inlineStr">
        <is>
          <t>subject07</t>
        </is>
      </c>
      <c r="B261" t="n">
        <v>23</v>
      </c>
      <c r="C261" t="n">
        <v>220</v>
      </c>
      <c r="D261" t="n">
        <v>260</v>
      </c>
      <c r="E261" t="n">
        <v>1.0896</v>
      </c>
      <c r="F261" t="n">
        <v>65.37</v>
      </c>
      <c r="G261">
        <f>H261/60</f>
        <v/>
      </c>
      <c r="H261">
        <f>MEDIAN(I257,I258,I259,I260,I261,I262,I263,I264,I265)</f>
        <v/>
      </c>
      <c r="I261" t="n">
        <v>66</v>
      </c>
      <c r="J261">
        <f>H261-F261</f>
        <v/>
      </c>
      <c r="K261">
        <f>ABS(J261)</f>
        <v/>
      </c>
      <c r="L261">
        <f>K261/F261*100</f>
        <v/>
      </c>
    </row>
    <row r="262">
      <c r="A262" t="inlineStr">
        <is>
          <t>subject07</t>
        </is>
      </c>
      <c r="B262" t="n">
        <v>24</v>
      </c>
      <c r="C262" t="n">
        <v>230</v>
      </c>
      <c r="D262" t="n">
        <v>270</v>
      </c>
      <c r="E262" t="n">
        <v>1.0825</v>
      </c>
      <c r="F262" t="n">
        <v>64.95</v>
      </c>
      <c r="G262">
        <f>H262/60</f>
        <v/>
      </c>
      <c r="H262">
        <f>MEDIAN(I258,I259,I260,I261,I262,I263,I264,I265,I266)</f>
        <v/>
      </c>
      <c r="I262" t="n">
        <v>54</v>
      </c>
      <c r="J262">
        <f>H262-F262</f>
        <v/>
      </c>
      <c r="K262">
        <f>ABS(J262)</f>
        <v/>
      </c>
      <c r="L262">
        <f>K262/F262*100</f>
        <v/>
      </c>
    </row>
    <row r="263">
      <c r="A263" t="inlineStr">
        <is>
          <t>subject07</t>
        </is>
      </c>
      <c r="B263" t="n">
        <v>25</v>
      </c>
      <c r="C263" t="n">
        <v>240</v>
      </c>
      <c r="D263" t="n">
        <v>280</v>
      </c>
      <c r="E263" t="n">
        <v>1.082</v>
      </c>
      <c r="F263" t="n">
        <v>64.92</v>
      </c>
      <c r="G263">
        <f>H263/60</f>
        <v/>
      </c>
      <c r="H263">
        <f>MEDIAN(I259,I260,I261,I262,I263,I264,I265,I266,I267)</f>
        <v/>
      </c>
      <c r="I263" t="n">
        <v>52.5</v>
      </c>
      <c r="J263">
        <f>H263-F263</f>
        <v/>
      </c>
      <c r="K263">
        <f>ABS(J263)</f>
        <v/>
      </c>
      <c r="L263">
        <f>K263/F263*100</f>
        <v/>
      </c>
    </row>
    <row r="264">
      <c r="A264" t="inlineStr">
        <is>
          <t>subject07</t>
        </is>
      </c>
      <c r="B264" t="n">
        <v>26</v>
      </c>
      <c r="C264" t="n">
        <v>250</v>
      </c>
      <c r="D264" t="n">
        <v>290</v>
      </c>
      <c r="E264" t="n">
        <v>1.0823</v>
      </c>
      <c r="F264" t="n">
        <v>64.94</v>
      </c>
      <c r="G264">
        <f>H264/60</f>
        <v/>
      </c>
      <c r="H264">
        <f>MEDIAN(I260,I261,I262,I263,I264,I265,I266,I267,I268)</f>
        <v/>
      </c>
      <c r="I264" t="n">
        <v>58.5</v>
      </c>
      <c r="J264">
        <f>H264-F264</f>
        <v/>
      </c>
      <c r="K264">
        <f>ABS(J264)</f>
        <v/>
      </c>
      <c r="L264">
        <f>K264/F264*100</f>
        <v/>
      </c>
    </row>
    <row r="265">
      <c r="A265" t="inlineStr">
        <is>
          <t>subject07</t>
        </is>
      </c>
      <c r="B265" t="n">
        <v>27</v>
      </c>
      <c r="C265" t="n">
        <v>260</v>
      </c>
      <c r="D265" t="n">
        <v>300</v>
      </c>
      <c r="E265" t="n">
        <v>1.0801</v>
      </c>
      <c r="F265" t="n">
        <v>64.8</v>
      </c>
      <c r="G265">
        <f>H265/60</f>
        <v/>
      </c>
      <c r="H265">
        <f>MEDIAN(I261,I262,I263,I264,I265,I266,I267,I268,I269)</f>
        <v/>
      </c>
      <c r="I265" t="n">
        <v>64.5</v>
      </c>
      <c r="J265">
        <f>H265-F265</f>
        <v/>
      </c>
      <c r="K265">
        <f>ABS(J265)</f>
        <v/>
      </c>
      <c r="L265">
        <f>K265/F265*100</f>
        <v/>
      </c>
    </row>
    <row r="266">
      <c r="A266" t="inlineStr">
        <is>
          <t>subject07</t>
        </is>
      </c>
      <c r="B266" t="n">
        <v>28</v>
      </c>
      <c r="C266" t="n">
        <v>270</v>
      </c>
      <c r="D266" t="n">
        <v>310</v>
      </c>
      <c r="E266" t="n">
        <v>1.0705</v>
      </c>
      <c r="F266" t="n">
        <v>64.23</v>
      </c>
      <c r="G266">
        <f>H266/60</f>
        <v/>
      </c>
      <c r="H266">
        <f>MEDIAN(I262,I263,I264,I265,I266,I267,I268,I269,I270)</f>
        <v/>
      </c>
      <c r="I266" t="n">
        <v>63</v>
      </c>
      <c r="J266">
        <f>H266-F266</f>
        <v/>
      </c>
      <c r="K266">
        <f>ABS(J266)</f>
        <v/>
      </c>
      <c r="L266">
        <f>K266/F266*100</f>
        <v/>
      </c>
    </row>
    <row r="267">
      <c r="A267" t="inlineStr">
        <is>
          <t>subject07</t>
        </is>
      </c>
      <c r="B267" t="n">
        <v>29</v>
      </c>
      <c r="C267" t="n">
        <v>280</v>
      </c>
      <c r="D267" t="n">
        <v>320</v>
      </c>
      <c r="E267" t="n">
        <v>1.0492</v>
      </c>
      <c r="F267" t="n">
        <v>62.95</v>
      </c>
      <c r="G267">
        <f>H267/60</f>
        <v/>
      </c>
      <c r="H267">
        <f>MEDIAN(I263,I264,I265,I266,I267,I268,I269,I270,I271)</f>
        <v/>
      </c>
      <c r="I267" t="n">
        <v>63</v>
      </c>
      <c r="J267">
        <f>H267-F267</f>
        <v/>
      </c>
      <c r="K267">
        <f>ABS(J267)</f>
        <v/>
      </c>
      <c r="L267">
        <f>K267/F267*100</f>
        <v/>
      </c>
    </row>
    <row r="268">
      <c r="A268" t="inlineStr">
        <is>
          <t>subject07</t>
        </is>
      </c>
      <c r="B268" t="n">
        <v>30</v>
      </c>
      <c r="C268" t="n">
        <v>290</v>
      </c>
      <c r="D268" t="n">
        <v>330</v>
      </c>
      <c r="E268" t="n">
        <v>1.0452</v>
      </c>
      <c r="F268" t="n">
        <v>62.71</v>
      </c>
      <c r="G268">
        <f>H268/60</f>
        <v/>
      </c>
      <c r="H268">
        <f>MEDIAN(I264,I265,I266,I267,I268,I269,I270,I271,I272)</f>
        <v/>
      </c>
      <c r="I268" t="n">
        <v>61.5</v>
      </c>
      <c r="J268">
        <f>H268-F268</f>
        <v/>
      </c>
      <c r="K268">
        <f>ABS(J268)</f>
        <v/>
      </c>
      <c r="L268">
        <f>K268/F268*100</f>
        <v/>
      </c>
    </row>
    <row r="269">
      <c r="A269" t="inlineStr">
        <is>
          <t>subject07</t>
        </is>
      </c>
      <c r="B269" t="n">
        <v>31</v>
      </c>
      <c r="C269" t="n">
        <v>300</v>
      </c>
      <c r="D269" t="n">
        <v>340</v>
      </c>
      <c r="E269" t="n">
        <v>1.0512</v>
      </c>
      <c r="F269" t="n">
        <v>63.07</v>
      </c>
      <c r="G269">
        <f>H269/60</f>
        <v/>
      </c>
      <c r="H269">
        <f>MEDIAN(I265,I266,I267,I268,I269,I270,I271,I272,I273)</f>
        <v/>
      </c>
      <c r="I269" t="n">
        <v>63</v>
      </c>
      <c r="J269">
        <f>H269-F269</f>
        <v/>
      </c>
      <c r="K269">
        <f>ABS(J269)</f>
        <v/>
      </c>
      <c r="L269">
        <f>K269/F269*100</f>
        <v/>
      </c>
    </row>
    <row r="270">
      <c r="A270" t="inlineStr">
        <is>
          <t>subject07</t>
        </is>
      </c>
      <c r="B270" t="n">
        <v>32</v>
      </c>
      <c r="C270" t="n">
        <v>310</v>
      </c>
      <c r="D270" t="n">
        <v>350</v>
      </c>
      <c r="E270" t="n">
        <v>1.0564</v>
      </c>
      <c r="F270" t="n">
        <v>63.38</v>
      </c>
      <c r="G270">
        <f>H270/60</f>
        <v/>
      </c>
      <c r="H270">
        <f>MEDIAN(I266,I267,I268,I269,I270,I271,I272,I273,I274)</f>
        <v/>
      </c>
      <c r="I270" t="n">
        <v>64.5</v>
      </c>
      <c r="J270">
        <f>H270-F270</f>
        <v/>
      </c>
      <c r="K270">
        <f>ABS(J270)</f>
        <v/>
      </c>
      <c r="L270">
        <f>K270/F270*100</f>
        <v/>
      </c>
    </row>
    <row r="271">
      <c r="A271" t="inlineStr">
        <is>
          <t>subject07</t>
        </is>
      </c>
      <c r="B271" t="n">
        <v>33</v>
      </c>
      <c r="C271" t="n">
        <v>320</v>
      </c>
      <c r="D271" t="n">
        <v>360</v>
      </c>
      <c r="E271" t="n">
        <v>1.0564</v>
      </c>
      <c r="F271" t="n">
        <v>63.38</v>
      </c>
      <c r="G271">
        <f>H271/60</f>
        <v/>
      </c>
      <c r="H271">
        <f>MEDIAN(I267,I268,I269,I270,I271,I272,I273,I274,I275)</f>
        <v/>
      </c>
      <c r="I271" t="n">
        <v>66</v>
      </c>
      <c r="J271">
        <f>H271-F271</f>
        <v/>
      </c>
      <c r="K271">
        <f>ABS(J271)</f>
        <v/>
      </c>
      <c r="L271">
        <f>K271/F271*100</f>
        <v/>
      </c>
    </row>
    <row r="272">
      <c r="A272" t="inlineStr">
        <is>
          <t>subject07</t>
        </is>
      </c>
      <c r="B272" t="n">
        <v>34</v>
      </c>
      <c r="C272" t="n">
        <v>330</v>
      </c>
      <c r="D272" t="n">
        <v>370</v>
      </c>
      <c r="E272" t="n">
        <v>1.048</v>
      </c>
      <c r="F272" t="n">
        <v>62.88</v>
      </c>
      <c r="G272">
        <f>H272/60</f>
        <v/>
      </c>
      <c r="H272">
        <f>MEDIAN(I268,I269,I270,I271,I272,I273,I274,I275,I276)</f>
        <v/>
      </c>
      <c r="I272" t="n">
        <v>63</v>
      </c>
      <c r="J272">
        <f>H272-F272</f>
        <v/>
      </c>
      <c r="K272">
        <f>ABS(J272)</f>
        <v/>
      </c>
      <c r="L272">
        <f>K272/F272*100</f>
        <v/>
      </c>
    </row>
    <row r="273">
      <c r="A273" t="inlineStr">
        <is>
          <t>subject07</t>
        </is>
      </c>
      <c r="B273" t="n">
        <v>35</v>
      </c>
      <c r="C273" t="n">
        <v>340</v>
      </c>
      <c r="D273" t="n">
        <v>380</v>
      </c>
      <c r="E273" t="n">
        <v>1.0401</v>
      </c>
      <c r="F273" t="n">
        <v>62.41</v>
      </c>
      <c r="G273">
        <f>H273/60</f>
        <v/>
      </c>
      <c r="H273">
        <f>MEDIAN(I269,I270,I271,I272,I273,I274,I275,I276,I277)</f>
        <v/>
      </c>
      <c r="I273" t="n">
        <v>61.5</v>
      </c>
      <c r="J273">
        <f>H273-F273</f>
        <v/>
      </c>
      <c r="K273">
        <f>ABS(J273)</f>
        <v/>
      </c>
      <c r="L273">
        <f>K273/F273*100</f>
        <v/>
      </c>
    </row>
    <row r="274">
      <c r="A274" t="inlineStr">
        <is>
          <t>subject07</t>
        </is>
      </c>
      <c r="B274" t="n">
        <v>36</v>
      </c>
      <c r="C274" t="n">
        <v>350</v>
      </c>
      <c r="D274" t="n">
        <v>390</v>
      </c>
      <c r="E274" t="n">
        <v>1.0369</v>
      </c>
      <c r="F274" t="n">
        <v>62.21</v>
      </c>
      <c r="G274">
        <f>H274/60</f>
        <v/>
      </c>
      <c r="H274">
        <f>MEDIAN(I270,I271,I272,I273,I274,I275,I276,I277,I278)</f>
        <v/>
      </c>
      <c r="I274" t="n">
        <v>61.5</v>
      </c>
      <c r="J274">
        <f>H274-F274</f>
        <v/>
      </c>
      <c r="K274">
        <f>ABS(J274)</f>
        <v/>
      </c>
      <c r="L274">
        <f>K274/F274*100</f>
        <v/>
      </c>
    </row>
    <row r="275">
      <c r="A275" t="inlineStr">
        <is>
          <t>subject07</t>
        </is>
      </c>
      <c r="B275" t="n">
        <v>37</v>
      </c>
      <c r="C275" t="n">
        <v>360</v>
      </c>
      <c r="D275" t="n">
        <v>400</v>
      </c>
      <c r="E275" t="n">
        <v>1.0467</v>
      </c>
      <c r="F275" t="n">
        <v>62.8</v>
      </c>
      <c r="G275">
        <f>H275/60</f>
        <v/>
      </c>
      <c r="H275">
        <f>MEDIAN(I271,I272,I273,I274,I275,I276,I277,I278,0)</f>
        <v/>
      </c>
      <c r="I275" t="n">
        <v>63</v>
      </c>
      <c r="J275">
        <f>H275-F275</f>
        <v/>
      </c>
      <c r="K275">
        <f>ABS(J275)</f>
        <v/>
      </c>
      <c r="L275">
        <f>K275/F275*100</f>
        <v/>
      </c>
    </row>
    <row r="276">
      <c r="A276" t="inlineStr">
        <is>
          <t>subject07</t>
        </is>
      </c>
      <c r="B276" t="n">
        <v>38</v>
      </c>
      <c r="C276" t="n">
        <v>370</v>
      </c>
      <c r="D276" t="n">
        <v>410</v>
      </c>
      <c r="E276" t="n">
        <v>1.0473</v>
      </c>
      <c r="F276" t="n">
        <v>62.84</v>
      </c>
      <c r="G276">
        <f>H276/60</f>
        <v/>
      </c>
      <c r="H276">
        <f>MEDIAN(I272,I273,I274,I275,I276,I277,I278,0,0)</f>
        <v/>
      </c>
      <c r="I276" t="n">
        <v>63</v>
      </c>
      <c r="J276">
        <f>H276-F276</f>
        <v/>
      </c>
      <c r="K276">
        <f>ABS(J276)</f>
        <v/>
      </c>
      <c r="L276">
        <f>K276/F276*100</f>
        <v/>
      </c>
    </row>
    <row r="277">
      <c r="A277" t="inlineStr">
        <is>
          <t>subject07</t>
        </is>
      </c>
      <c r="B277" t="n">
        <v>39</v>
      </c>
      <c r="C277" t="n">
        <v>380</v>
      </c>
      <c r="D277" t="n">
        <v>420</v>
      </c>
      <c r="E277" t="n">
        <v>1.0468</v>
      </c>
      <c r="F277" t="n">
        <v>62.81</v>
      </c>
      <c r="G277">
        <f>H277/60</f>
        <v/>
      </c>
      <c r="H277">
        <f>MEDIAN(I273,I274,I275,I276,I277,I278,0,0,0)</f>
        <v/>
      </c>
      <c r="I277" t="n">
        <v>63</v>
      </c>
      <c r="J277">
        <f>H277-F277</f>
        <v/>
      </c>
      <c r="K277">
        <f>ABS(J277)</f>
        <v/>
      </c>
      <c r="L277">
        <f>K277/F277*100</f>
        <v/>
      </c>
    </row>
    <row r="278">
      <c r="A278" t="inlineStr">
        <is>
          <t>subject07</t>
        </is>
      </c>
      <c r="B278" t="n">
        <v>40</v>
      </c>
      <c r="C278" t="n">
        <v>390</v>
      </c>
      <c r="D278" t="n">
        <v>430</v>
      </c>
      <c r="E278" t="n">
        <v>1.0534</v>
      </c>
      <c r="F278" t="n">
        <v>63.2</v>
      </c>
      <c r="G278">
        <f>H278/60</f>
        <v/>
      </c>
      <c r="H278">
        <f>MEDIAN(I274,I275,I276,I277,I278,0,0,0,0)</f>
        <v/>
      </c>
      <c r="I278" t="n">
        <v>61.5</v>
      </c>
      <c r="J278">
        <f>H278-F278</f>
        <v/>
      </c>
      <c r="K278">
        <f>ABS(J278)</f>
        <v/>
      </c>
      <c r="L278">
        <f>K278/F278*100</f>
        <v/>
      </c>
    </row>
    <row r="279">
      <c r="A279" t="inlineStr">
        <is>
          <t>subject08</t>
        </is>
      </c>
      <c r="B279" t="n">
        <v>1</v>
      </c>
      <c r="C279" t="n">
        <v>0</v>
      </c>
      <c r="D279" t="n">
        <v>40</v>
      </c>
      <c r="E279" t="n">
        <v>1.2124</v>
      </c>
      <c r="F279" t="n">
        <v>72.75</v>
      </c>
      <c r="G279">
        <f>H279/60</f>
        <v/>
      </c>
      <c r="H279">
        <f>MEDIAN(0,0,0,0,I279,I280,I281,I282,I283)</f>
        <v/>
      </c>
      <c r="I279" t="n">
        <v>70.5</v>
      </c>
      <c r="J279">
        <f>H279-F279</f>
        <v/>
      </c>
      <c r="K279">
        <f>ABS(J279)</f>
        <v/>
      </c>
      <c r="L279">
        <f>K279/F279*100</f>
        <v/>
      </c>
    </row>
    <row r="280">
      <c r="A280" t="inlineStr">
        <is>
          <t>subject08</t>
        </is>
      </c>
      <c r="B280" t="n">
        <v>2</v>
      </c>
      <c r="C280" t="n">
        <v>10</v>
      </c>
      <c r="D280" t="n">
        <v>50</v>
      </c>
      <c r="E280" t="n">
        <v>1.1984</v>
      </c>
      <c r="F280" t="n">
        <v>71.90000000000001</v>
      </c>
      <c r="G280">
        <f>H280/60</f>
        <v/>
      </c>
      <c r="H280">
        <f>MEDIAN(0,0,0,I279,I280,I281,I282,I283,I284)</f>
        <v/>
      </c>
      <c r="I280" t="n">
        <v>73.5</v>
      </c>
      <c r="J280">
        <f>H280-F280</f>
        <v/>
      </c>
      <c r="K280">
        <f>ABS(J280)</f>
        <v/>
      </c>
      <c r="L280">
        <f>K280/F280*100</f>
        <v/>
      </c>
    </row>
    <row r="281">
      <c r="A281" t="inlineStr">
        <is>
          <t>subject08</t>
        </is>
      </c>
      <c r="B281" t="n">
        <v>3</v>
      </c>
      <c r="C281" t="n">
        <v>20</v>
      </c>
      <c r="D281" t="n">
        <v>60</v>
      </c>
      <c r="E281" t="n">
        <v>1.2186</v>
      </c>
      <c r="F281" t="n">
        <v>73.12</v>
      </c>
      <c r="G281">
        <f>H281/60</f>
        <v/>
      </c>
      <c r="H281">
        <f>MEDIAN(0,0,I279,I280,I281,I282,I283,I284,I285)</f>
        <v/>
      </c>
      <c r="I281" t="n">
        <v>72</v>
      </c>
      <c r="J281">
        <f>H281-F281</f>
        <v/>
      </c>
      <c r="K281">
        <f>ABS(J281)</f>
        <v/>
      </c>
      <c r="L281">
        <f>K281/F281*100</f>
        <v/>
      </c>
    </row>
    <row r="282">
      <c r="A282" t="inlineStr">
        <is>
          <t>subject08</t>
        </is>
      </c>
      <c r="B282" t="n">
        <v>4</v>
      </c>
      <c r="C282" t="n">
        <v>30</v>
      </c>
      <c r="D282" t="n">
        <v>70</v>
      </c>
      <c r="E282" t="n">
        <v>1.2255</v>
      </c>
      <c r="F282" t="n">
        <v>73.53</v>
      </c>
      <c r="G282">
        <f>H282/60</f>
        <v/>
      </c>
      <c r="H282">
        <f>MEDIAN(0,I279,I280,I281,I282,I283,I284,I285,I286)</f>
        <v/>
      </c>
      <c r="I282" t="n">
        <v>67.5</v>
      </c>
      <c r="J282">
        <f>H282-F282</f>
        <v/>
      </c>
      <c r="K282">
        <f>ABS(J282)</f>
        <v/>
      </c>
      <c r="L282">
        <f>K282/F282*100</f>
        <v/>
      </c>
    </row>
    <row r="283">
      <c r="A283" t="inlineStr">
        <is>
          <t>subject08</t>
        </is>
      </c>
      <c r="B283" t="n">
        <v>5</v>
      </c>
      <c r="C283" t="n">
        <v>40</v>
      </c>
      <c r="D283" t="n">
        <v>80</v>
      </c>
      <c r="E283" t="n">
        <v>1.2326</v>
      </c>
      <c r="F283" t="n">
        <v>73.95999999999999</v>
      </c>
      <c r="G283">
        <f>H283/60</f>
        <v/>
      </c>
      <c r="H283">
        <f>MEDIAN(I279,I280,I281,I282,I283,I284,I285,I286,I287)</f>
        <v/>
      </c>
      <c r="I283" t="n">
        <v>103.5</v>
      </c>
      <c r="J283">
        <f>H283-F283</f>
        <v/>
      </c>
      <c r="K283">
        <f>ABS(J283)</f>
        <v/>
      </c>
      <c r="L283">
        <f>K283/F283*100</f>
        <v/>
      </c>
    </row>
    <row r="284">
      <c r="A284" t="inlineStr">
        <is>
          <t>subject08</t>
        </is>
      </c>
      <c r="B284" t="n">
        <v>6</v>
      </c>
      <c r="C284" t="n">
        <v>50</v>
      </c>
      <c r="D284" t="n">
        <v>90</v>
      </c>
      <c r="E284" t="n">
        <v>1.2414</v>
      </c>
      <c r="F284" t="n">
        <v>74.48999999999999</v>
      </c>
      <c r="G284">
        <f>H284/60</f>
        <v/>
      </c>
      <c r="H284">
        <f>MEDIAN(I280,I281,I282,I283,I284,I285,I286,I287,I288)</f>
        <v/>
      </c>
      <c r="I284" t="n">
        <v>75</v>
      </c>
      <c r="J284">
        <f>H284-F284</f>
        <v/>
      </c>
      <c r="K284">
        <f>ABS(J284)</f>
        <v/>
      </c>
      <c r="L284">
        <f>K284/F284*100</f>
        <v/>
      </c>
    </row>
    <row r="285">
      <c r="A285" t="inlineStr">
        <is>
          <t>subject08</t>
        </is>
      </c>
      <c r="B285" t="n">
        <v>7</v>
      </c>
      <c r="C285" t="n">
        <v>60</v>
      </c>
      <c r="D285" t="n">
        <v>100</v>
      </c>
      <c r="E285" t="n">
        <v>1.2315</v>
      </c>
      <c r="F285" t="n">
        <v>73.89</v>
      </c>
      <c r="G285">
        <f>H285/60</f>
        <v/>
      </c>
      <c r="H285">
        <f>MEDIAN(I281,I282,I283,I284,I285,I286,I287,I288,I289)</f>
        <v/>
      </c>
      <c r="I285" t="n">
        <v>73.5</v>
      </c>
      <c r="J285">
        <f>H285-F285</f>
        <v/>
      </c>
      <c r="K285">
        <f>ABS(J285)</f>
        <v/>
      </c>
      <c r="L285">
        <f>K285/F285*100</f>
        <v/>
      </c>
    </row>
    <row r="286">
      <c r="A286" t="inlineStr">
        <is>
          <t>subject08</t>
        </is>
      </c>
      <c r="B286" t="n">
        <v>8</v>
      </c>
      <c r="C286" t="n">
        <v>70</v>
      </c>
      <c r="D286" t="n">
        <v>110</v>
      </c>
      <c r="E286" t="n">
        <v>1.25</v>
      </c>
      <c r="F286" t="n">
        <v>75</v>
      </c>
      <c r="G286">
        <f>H286/60</f>
        <v/>
      </c>
      <c r="H286">
        <f>MEDIAN(I282,I283,I284,I285,I286,I287,I288,I289,I290)</f>
        <v/>
      </c>
      <c r="I286" t="n">
        <v>73.5</v>
      </c>
      <c r="J286">
        <f>H286-F286</f>
        <v/>
      </c>
      <c r="K286">
        <f>ABS(J286)</f>
        <v/>
      </c>
      <c r="L286">
        <f>K286/F286*100</f>
        <v/>
      </c>
    </row>
    <row r="287">
      <c r="A287" t="inlineStr">
        <is>
          <t>subject08</t>
        </is>
      </c>
      <c r="B287" t="n">
        <v>9</v>
      </c>
      <c r="C287" t="n">
        <v>80</v>
      </c>
      <c r="D287" t="n">
        <v>120</v>
      </c>
      <c r="E287" t="n">
        <v>1.2652</v>
      </c>
      <c r="F287" t="n">
        <v>75.91</v>
      </c>
      <c r="G287">
        <f>H287/60</f>
        <v/>
      </c>
      <c r="H287">
        <f>MEDIAN(I283,I284,I285,I286,I287,I288,I289,I290,I291)</f>
        <v/>
      </c>
      <c r="I287" t="n">
        <v>99</v>
      </c>
      <c r="J287">
        <f>H287-F287</f>
        <v/>
      </c>
      <c r="K287">
        <f>ABS(J287)</f>
        <v/>
      </c>
      <c r="L287">
        <f>K287/F287*100</f>
        <v/>
      </c>
    </row>
    <row r="288">
      <c r="A288" t="inlineStr">
        <is>
          <t>subject08</t>
        </is>
      </c>
      <c r="B288" t="n">
        <v>10</v>
      </c>
      <c r="C288" t="n">
        <v>90</v>
      </c>
      <c r="D288" t="n">
        <v>130</v>
      </c>
      <c r="E288" t="n">
        <v>1.2619</v>
      </c>
      <c r="F288" t="n">
        <v>75.70999999999999</v>
      </c>
      <c r="G288">
        <f>H288/60</f>
        <v/>
      </c>
      <c r="H288">
        <f>MEDIAN(I284,I285,I286,I287,I288,I289,I290,I291,I292)</f>
        <v/>
      </c>
      <c r="I288" t="n">
        <v>76.5</v>
      </c>
      <c r="J288">
        <f>H288-F288</f>
        <v/>
      </c>
      <c r="K288">
        <f>ABS(J288)</f>
        <v/>
      </c>
      <c r="L288">
        <f>K288/F288*100</f>
        <v/>
      </c>
    </row>
    <row r="289">
      <c r="A289" t="inlineStr">
        <is>
          <t>subject08</t>
        </is>
      </c>
      <c r="B289" t="n">
        <v>11</v>
      </c>
      <c r="C289" t="n">
        <v>100</v>
      </c>
      <c r="D289" t="n">
        <v>140</v>
      </c>
      <c r="E289" t="n">
        <v>1.2754</v>
      </c>
      <c r="F289" t="n">
        <v>76.53</v>
      </c>
      <c r="G289">
        <f>H289/60</f>
        <v/>
      </c>
      <c r="H289">
        <f>MEDIAN(I285,I286,I287,I288,I289,I290,I291,I292,I293)</f>
        <v/>
      </c>
      <c r="I289" t="n">
        <v>67.5</v>
      </c>
      <c r="J289">
        <f>H289-F289</f>
        <v/>
      </c>
      <c r="K289">
        <f>ABS(J289)</f>
        <v/>
      </c>
      <c r="L289">
        <f>K289/F289*100</f>
        <v/>
      </c>
    </row>
    <row r="290">
      <c r="A290" t="inlineStr">
        <is>
          <t>subject08</t>
        </is>
      </c>
      <c r="B290" t="n">
        <v>12</v>
      </c>
      <c r="C290" t="n">
        <v>110</v>
      </c>
      <c r="D290" t="n">
        <v>150</v>
      </c>
      <c r="E290" t="n">
        <v>1.2634</v>
      </c>
      <c r="F290" t="n">
        <v>75.8</v>
      </c>
      <c r="G290">
        <f>H290/60</f>
        <v/>
      </c>
      <c r="H290">
        <f>MEDIAN(I286,I287,I288,I289,I290,I291,I292,I293,I294)</f>
        <v/>
      </c>
      <c r="I290" t="n">
        <v>69</v>
      </c>
      <c r="J290">
        <f>H290-F290</f>
        <v/>
      </c>
      <c r="K290">
        <f>ABS(J290)</f>
        <v/>
      </c>
      <c r="L290">
        <f>K290/F290*100</f>
        <v/>
      </c>
    </row>
    <row r="291">
      <c r="A291" t="inlineStr">
        <is>
          <t>subject08</t>
        </is>
      </c>
      <c r="B291" t="n">
        <v>13</v>
      </c>
      <c r="C291" t="n">
        <v>120</v>
      </c>
      <c r="D291" t="n">
        <v>160</v>
      </c>
      <c r="E291" t="n">
        <v>1.2617</v>
      </c>
      <c r="F291" t="n">
        <v>75.7</v>
      </c>
      <c r="G291">
        <f>H291/60</f>
        <v/>
      </c>
      <c r="H291">
        <f>MEDIAN(I287,I288,I289,I290,I291,I292,I293,I294,I295)</f>
        <v/>
      </c>
      <c r="I291" t="n">
        <v>75</v>
      </c>
      <c r="J291">
        <f>H291-F291</f>
        <v/>
      </c>
      <c r="K291">
        <f>ABS(J291)</f>
        <v/>
      </c>
      <c r="L291">
        <f>K291/F291*100</f>
        <v/>
      </c>
    </row>
    <row r="292">
      <c r="A292" t="inlineStr">
        <is>
          <t>subject08</t>
        </is>
      </c>
      <c r="B292" t="n">
        <v>14</v>
      </c>
      <c r="C292" t="n">
        <v>130</v>
      </c>
      <c r="D292" t="n">
        <v>170</v>
      </c>
      <c r="E292" t="n">
        <v>1.2869</v>
      </c>
      <c r="F292" t="n">
        <v>77.20999999999999</v>
      </c>
      <c r="G292">
        <f>H292/60</f>
        <v/>
      </c>
      <c r="H292">
        <f>MEDIAN(I288,I289,I290,I291,I292,I293,I294,I295,I296)</f>
        <v/>
      </c>
      <c r="I292" t="n">
        <v>76.5</v>
      </c>
      <c r="J292">
        <f>H292-F292</f>
        <v/>
      </c>
      <c r="K292">
        <f>ABS(J292)</f>
        <v/>
      </c>
      <c r="L292">
        <f>K292/F292*100</f>
        <v/>
      </c>
    </row>
    <row r="293">
      <c r="A293" t="inlineStr">
        <is>
          <t>subject08</t>
        </is>
      </c>
      <c r="B293" t="n">
        <v>15</v>
      </c>
      <c r="C293" t="n">
        <v>140</v>
      </c>
      <c r="D293" t="n">
        <v>180</v>
      </c>
      <c r="E293" t="n">
        <v>1.2979</v>
      </c>
      <c r="F293" t="n">
        <v>77.87</v>
      </c>
      <c r="G293">
        <f>H293/60</f>
        <v/>
      </c>
      <c r="H293">
        <f>MEDIAN(I289,I290,I291,I292,I293,I294,I295,I296,I297)</f>
        <v/>
      </c>
      <c r="I293" t="n">
        <v>76.5</v>
      </c>
      <c r="J293">
        <f>H293-F293</f>
        <v/>
      </c>
      <c r="K293">
        <f>ABS(J293)</f>
        <v/>
      </c>
      <c r="L293">
        <f>K293/F293*100</f>
        <v/>
      </c>
    </row>
    <row r="294">
      <c r="A294" t="inlineStr">
        <is>
          <t>subject08</t>
        </is>
      </c>
      <c r="B294" t="n">
        <v>16</v>
      </c>
      <c r="C294" t="n">
        <v>150</v>
      </c>
      <c r="D294" t="n">
        <v>190</v>
      </c>
      <c r="E294" t="n">
        <v>1.3057</v>
      </c>
      <c r="F294" t="n">
        <v>78.34</v>
      </c>
      <c r="G294">
        <f>H294/60</f>
        <v/>
      </c>
      <c r="H294">
        <f>MEDIAN(I290,I291,I292,I293,I294,I295,I296,I297,I298)</f>
        <v/>
      </c>
      <c r="I294" t="n">
        <v>63</v>
      </c>
      <c r="J294">
        <f>H294-F294</f>
        <v/>
      </c>
      <c r="K294">
        <f>ABS(J294)</f>
        <v/>
      </c>
      <c r="L294">
        <f>K294/F294*100</f>
        <v/>
      </c>
    </row>
    <row r="295">
      <c r="A295" t="inlineStr">
        <is>
          <t>subject08</t>
        </is>
      </c>
      <c r="B295" t="n">
        <v>17</v>
      </c>
      <c r="C295" t="n">
        <v>160</v>
      </c>
      <c r="D295" t="n">
        <v>200</v>
      </c>
      <c r="E295" t="n">
        <v>1.3117</v>
      </c>
      <c r="F295" t="n">
        <v>78.7</v>
      </c>
      <c r="G295">
        <f>H295/60</f>
        <v/>
      </c>
      <c r="H295">
        <f>MEDIAN(I291,I292,I293,I294,I295,I296,I297,I298,I299)</f>
        <v/>
      </c>
      <c r="I295" t="n">
        <v>63</v>
      </c>
      <c r="J295">
        <f>H295-F295</f>
        <v/>
      </c>
      <c r="K295">
        <f>ABS(J295)</f>
        <v/>
      </c>
      <c r="L295">
        <f>K295/F295*100</f>
        <v/>
      </c>
    </row>
    <row r="296">
      <c r="A296" t="inlineStr">
        <is>
          <t>subject08</t>
        </is>
      </c>
      <c r="B296" t="n">
        <v>18</v>
      </c>
      <c r="C296" t="n">
        <v>170</v>
      </c>
      <c r="D296" t="n">
        <v>210</v>
      </c>
      <c r="E296" t="n">
        <v>1.2716</v>
      </c>
      <c r="F296" t="n">
        <v>76.3</v>
      </c>
      <c r="G296">
        <f>H296/60</f>
        <v/>
      </c>
      <c r="H296">
        <f>MEDIAN(I292,I293,I294,I295,I296,I297,I298,I299,I300)</f>
        <v/>
      </c>
      <c r="I296" t="n">
        <v>78</v>
      </c>
      <c r="J296">
        <f>H296-F296</f>
        <v/>
      </c>
      <c r="K296">
        <f>ABS(J296)</f>
        <v/>
      </c>
      <c r="L296">
        <f>K296/F296*100</f>
        <v/>
      </c>
    </row>
    <row r="297">
      <c r="A297" t="inlineStr">
        <is>
          <t>subject08</t>
        </is>
      </c>
      <c r="B297" t="n">
        <v>19</v>
      </c>
      <c r="C297" t="n">
        <v>180</v>
      </c>
      <c r="D297" t="n">
        <v>220</v>
      </c>
      <c r="E297" t="n">
        <v>1.2492</v>
      </c>
      <c r="F297" t="n">
        <v>74.95</v>
      </c>
      <c r="G297">
        <f>H297/60</f>
        <v/>
      </c>
      <c r="H297">
        <f>MEDIAN(I293,I294,I295,I296,I297,I298,I299,I300,I301)</f>
        <v/>
      </c>
      <c r="I297" t="n">
        <v>72</v>
      </c>
      <c r="J297">
        <f>H297-F297</f>
        <v/>
      </c>
      <c r="K297">
        <f>ABS(J297)</f>
        <v/>
      </c>
      <c r="L297">
        <f>K297/F297*100</f>
        <v/>
      </c>
    </row>
    <row r="298">
      <c r="A298" t="inlineStr">
        <is>
          <t>subject08</t>
        </is>
      </c>
      <c r="B298" t="n">
        <v>20</v>
      </c>
      <c r="C298" t="n">
        <v>190</v>
      </c>
      <c r="D298" t="n">
        <v>230</v>
      </c>
      <c r="E298" t="n">
        <v>1.2192</v>
      </c>
      <c r="F298" t="n">
        <v>73.15000000000001</v>
      </c>
      <c r="G298">
        <f>H298/60</f>
        <v/>
      </c>
      <c r="H298">
        <f>MEDIAN(I294,I295,I296,I297,I298,I299,I300,I301,I302)</f>
        <v/>
      </c>
      <c r="I298" t="n">
        <v>72</v>
      </c>
      <c r="J298">
        <f>H298-F298</f>
        <v/>
      </c>
      <c r="K298">
        <f>ABS(J298)</f>
        <v/>
      </c>
      <c r="L298">
        <f>K298/F298*100</f>
        <v/>
      </c>
    </row>
    <row r="299">
      <c r="A299" t="inlineStr">
        <is>
          <t>subject08</t>
        </is>
      </c>
      <c r="B299" t="n">
        <v>21</v>
      </c>
      <c r="C299" t="n">
        <v>200</v>
      </c>
      <c r="D299" t="n">
        <v>240</v>
      </c>
      <c r="E299" t="n">
        <v>1.1895</v>
      </c>
      <c r="F299" t="n">
        <v>71.37</v>
      </c>
      <c r="G299">
        <f>H299/60</f>
        <v/>
      </c>
      <c r="H299">
        <f>MEDIAN(I295,I296,I297,I298,I299,I300,I301,I302,I303)</f>
        <v/>
      </c>
      <c r="I299" t="n">
        <v>70.5</v>
      </c>
      <c r="J299">
        <f>H299-F299</f>
        <v/>
      </c>
      <c r="K299">
        <f>ABS(J299)</f>
        <v/>
      </c>
      <c r="L299">
        <f>K299/F299*100</f>
        <v/>
      </c>
    </row>
    <row r="300">
      <c r="A300" t="inlineStr">
        <is>
          <t>subject08</t>
        </is>
      </c>
      <c r="B300" t="n">
        <v>22</v>
      </c>
      <c r="C300" t="n">
        <v>210</v>
      </c>
      <c r="D300" t="n">
        <v>250</v>
      </c>
      <c r="E300" t="n">
        <v>1.2058</v>
      </c>
      <c r="F300" t="n">
        <v>72.34999999999999</v>
      </c>
      <c r="G300">
        <f>H300/60</f>
        <v/>
      </c>
      <c r="H300">
        <f>MEDIAN(I296,I297,I298,I299,I300,I301,I302,I303,I304)</f>
        <v/>
      </c>
      <c r="I300" t="n">
        <v>72</v>
      </c>
      <c r="J300">
        <f>H300-F300</f>
        <v/>
      </c>
      <c r="K300">
        <f>ABS(J300)</f>
        <v/>
      </c>
      <c r="L300">
        <f>K300/F300*100</f>
        <v/>
      </c>
    </row>
    <row r="301">
      <c r="A301" t="inlineStr">
        <is>
          <t>subject08</t>
        </is>
      </c>
      <c r="B301" t="n">
        <v>23</v>
      </c>
      <c r="C301" t="n">
        <v>220</v>
      </c>
      <c r="D301" t="n">
        <v>260</v>
      </c>
      <c r="E301" t="n">
        <v>1.206</v>
      </c>
      <c r="F301" t="n">
        <v>72.36</v>
      </c>
      <c r="G301">
        <f>H301/60</f>
        <v/>
      </c>
      <c r="H301">
        <f>MEDIAN(I297,I298,I299,I300,I301,I302,I303,I304,I305)</f>
        <v/>
      </c>
      <c r="I301" t="n">
        <v>72</v>
      </c>
      <c r="J301">
        <f>H301-F301</f>
        <v/>
      </c>
      <c r="K301">
        <f>ABS(J301)</f>
        <v/>
      </c>
      <c r="L301">
        <f>K301/F301*100</f>
        <v/>
      </c>
    </row>
    <row r="302">
      <c r="A302" t="inlineStr">
        <is>
          <t>subject08</t>
        </is>
      </c>
      <c r="B302" t="n">
        <v>24</v>
      </c>
      <c r="C302" t="n">
        <v>230</v>
      </c>
      <c r="D302" t="n">
        <v>270</v>
      </c>
      <c r="E302" t="n">
        <v>1.2096</v>
      </c>
      <c r="F302" t="n">
        <v>72.56999999999999</v>
      </c>
      <c r="G302">
        <f>H302/60</f>
        <v/>
      </c>
      <c r="H302">
        <f>MEDIAN(I298,I299,I300,I301,I302,I303,I304,I305,I306)</f>
        <v/>
      </c>
      <c r="I302" t="n">
        <v>73.5</v>
      </c>
      <c r="J302">
        <f>H302-F302</f>
        <v/>
      </c>
      <c r="K302">
        <f>ABS(J302)</f>
        <v/>
      </c>
      <c r="L302">
        <f>K302/F302*100</f>
        <v/>
      </c>
    </row>
    <row r="303">
      <c r="A303" t="inlineStr">
        <is>
          <t>subject08</t>
        </is>
      </c>
      <c r="B303" t="n">
        <v>25</v>
      </c>
      <c r="C303" t="n">
        <v>240</v>
      </c>
      <c r="D303" t="n">
        <v>280</v>
      </c>
      <c r="E303" t="n">
        <v>1.2099</v>
      </c>
      <c r="F303" t="n">
        <v>72.59</v>
      </c>
      <c r="G303">
        <f>H303/60</f>
        <v/>
      </c>
      <c r="H303">
        <f>MEDIAN(I299,I300,I301,I302,I303,I304,I305,I306,I307)</f>
        <v/>
      </c>
      <c r="I303" t="n">
        <v>73.5</v>
      </c>
      <c r="J303">
        <f>H303-F303</f>
        <v/>
      </c>
      <c r="K303">
        <f>ABS(J303)</f>
        <v/>
      </c>
      <c r="L303">
        <f>K303/F303*100</f>
        <v/>
      </c>
    </row>
    <row r="304">
      <c r="A304" t="inlineStr">
        <is>
          <t>subject08</t>
        </is>
      </c>
      <c r="B304" t="n">
        <v>26</v>
      </c>
      <c r="C304" t="n">
        <v>250</v>
      </c>
      <c r="D304" t="n">
        <v>290</v>
      </c>
      <c r="E304" t="n">
        <v>1.2084</v>
      </c>
      <c r="F304" t="n">
        <v>72.5</v>
      </c>
      <c r="G304">
        <f>H304/60</f>
        <v/>
      </c>
      <c r="H304">
        <f>MEDIAN(I300,I301,I302,I303,I304,I305,I306,I307,I308)</f>
        <v/>
      </c>
      <c r="I304" t="n">
        <v>75</v>
      </c>
      <c r="J304">
        <f>H304-F304</f>
        <v/>
      </c>
      <c r="K304">
        <f>ABS(J304)</f>
        <v/>
      </c>
      <c r="L304">
        <f>K304/F304*100</f>
        <v/>
      </c>
    </row>
    <row r="305">
      <c r="A305" t="inlineStr">
        <is>
          <t>subject08</t>
        </is>
      </c>
      <c r="B305" t="n">
        <v>27</v>
      </c>
      <c r="C305" t="n">
        <v>260</v>
      </c>
      <c r="D305" t="n">
        <v>300</v>
      </c>
      <c r="E305" t="n">
        <v>1.2116</v>
      </c>
      <c r="F305" t="n">
        <v>72.7</v>
      </c>
      <c r="G305">
        <f>H305/60</f>
        <v/>
      </c>
      <c r="H305">
        <f>MEDIAN(I301,I302,I303,I304,I305,I306,I307,I308,I309)</f>
        <v/>
      </c>
      <c r="I305" t="n">
        <v>75</v>
      </c>
      <c r="J305">
        <f>H305-F305</f>
        <v/>
      </c>
      <c r="K305">
        <f>ABS(J305)</f>
        <v/>
      </c>
      <c r="L305">
        <f>K305/F305*100</f>
        <v/>
      </c>
    </row>
    <row r="306">
      <c r="A306" t="inlineStr">
        <is>
          <t>subject08</t>
        </is>
      </c>
      <c r="B306" t="n">
        <v>28</v>
      </c>
      <c r="C306" t="n">
        <v>270</v>
      </c>
      <c r="D306" t="n">
        <v>310</v>
      </c>
      <c r="E306" t="n">
        <v>1.2262</v>
      </c>
      <c r="F306" t="n">
        <v>73.56999999999999</v>
      </c>
      <c r="G306">
        <f>H306/60</f>
        <v/>
      </c>
      <c r="H306">
        <f>MEDIAN(I302,I303,I304,I305,I306,I307,I308,I309,I310)</f>
        <v/>
      </c>
      <c r="I306" t="n">
        <v>73.5</v>
      </c>
      <c r="J306">
        <f>H306-F306</f>
        <v/>
      </c>
      <c r="K306">
        <f>ABS(J306)</f>
        <v/>
      </c>
      <c r="L306">
        <f>K306/F306*100</f>
        <v/>
      </c>
    </row>
    <row r="307">
      <c r="A307" t="inlineStr">
        <is>
          <t>subject08</t>
        </is>
      </c>
      <c r="B307" t="n">
        <v>29</v>
      </c>
      <c r="C307" t="n">
        <v>280</v>
      </c>
      <c r="D307" t="n">
        <v>320</v>
      </c>
      <c r="E307" t="n">
        <v>1.2392</v>
      </c>
      <c r="F307" t="n">
        <v>74.34999999999999</v>
      </c>
      <c r="G307">
        <f>H307/60</f>
        <v/>
      </c>
      <c r="H307">
        <f>MEDIAN(I303,I304,I305,I306,I307,I308,I309,I310,I311)</f>
        <v/>
      </c>
      <c r="I307" t="n">
        <v>75</v>
      </c>
      <c r="J307">
        <f>H307-F307</f>
        <v/>
      </c>
      <c r="K307">
        <f>ABS(J307)</f>
        <v/>
      </c>
      <c r="L307">
        <f>K307/F307*100</f>
        <v/>
      </c>
    </row>
    <row r="308">
      <c r="A308" t="inlineStr">
        <is>
          <t>subject08</t>
        </is>
      </c>
      <c r="B308" t="n">
        <v>30</v>
      </c>
      <c r="C308" t="n">
        <v>290</v>
      </c>
      <c r="D308" t="n">
        <v>330</v>
      </c>
      <c r="E308" t="n">
        <v>1.2588</v>
      </c>
      <c r="F308" t="n">
        <v>75.53</v>
      </c>
      <c r="G308">
        <f>H308/60</f>
        <v/>
      </c>
      <c r="H308">
        <f>MEDIAN(I304,I305,I306,I307,I308,I309,I310,I311,I312)</f>
        <v/>
      </c>
      <c r="I308" t="n">
        <v>75</v>
      </c>
      <c r="J308">
        <f>H308-F308</f>
        <v/>
      </c>
      <c r="K308">
        <f>ABS(J308)</f>
        <v/>
      </c>
      <c r="L308">
        <f>K308/F308*100</f>
        <v/>
      </c>
    </row>
    <row r="309">
      <c r="A309" t="inlineStr">
        <is>
          <t>subject08</t>
        </is>
      </c>
      <c r="B309" t="n">
        <v>31</v>
      </c>
      <c r="C309" t="n">
        <v>300</v>
      </c>
      <c r="D309" t="n">
        <v>340</v>
      </c>
      <c r="E309" t="n">
        <v>1.2738</v>
      </c>
      <c r="F309" t="n">
        <v>76.43000000000001</v>
      </c>
      <c r="G309">
        <f>H309/60</f>
        <v/>
      </c>
      <c r="H309">
        <f>MEDIAN(I305,I306,I307,I308,I309,I310,I311,I312,I313)</f>
        <v/>
      </c>
      <c r="I309" t="n">
        <v>75</v>
      </c>
      <c r="J309">
        <f>H309-F309</f>
        <v/>
      </c>
      <c r="K309">
        <f>ABS(J309)</f>
        <v/>
      </c>
      <c r="L309">
        <f>K309/F309*100</f>
        <v/>
      </c>
    </row>
    <row r="310">
      <c r="A310" t="inlineStr">
        <is>
          <t>subject08</t>
        </is>
      </c>
      <c r="B310" t="n">
        <v>32</v>
      </c>
      <c r="C310" t="n">
        <v>310</v>
      </c>
      <c r="D310" t="n">
        <v>350</v>
      </c>
      <c r="E310" t="n">
        <v>1.2846</v>
      </c>
      <c r="F310" t="n">
        <v>77.08</v>
      </c>
      <c r="G310">
        <f>H310/60</f>
        <v/>
      </c>
      <c r="H310">
        <f>MEDIAN(I306,I307,I308,I309,I310,I311,I312,I313,I314)</f>
        <v/>
      </c>
      <c r="I310" t="n">
        <v>78</v>
      </c>
      <c r="J310">
        <f>H310-F310</f>
        <v/>
      </c>
      <c r="K310">
        <f>ABS(J310)</f>
        <v/>
      </c>
      <c r="L310">
        <f>K310/F310*100</f>
        <v/>
      </c>
    </row>
    <row r="311">
      <c r="A311" t="inlineStr">
        <is>
          <t>subject08</t>
        </is>
      </c>
      <c r="B311" t="n">
        <v>33</v>
      </c>
      <c r="C311" t="n">
        <v>320</v>
      </c>
      <c r="D311" t="n">
        <v>360</v>
      </c>
      <c r="E311" t="n">
        <v>1.2905</v>
      </c>
      <c r="F311" t="n">
        <v>77.43000000000001</v>
      </c>
      <c r="G311">
        <f>H311/60</f>
        <v/>
      </c>
      <c r="H311">
        <f>MEDIAN(I307,I308,I309,I310,I311,I312,I313,I314,I315)</f>
        <v/>
      </c>
      <c r="I311" t="n">
        <v>78</v>
      </c>
      <c r="J311">
        <f>H311-F311</f>
        <v/>
      </c>
      <c r="K311">
        <f>ABS(J311)</f>
        <v/>
      </c>
      <c r="L311">
        <f>K311/F311*100</f>
        <v/>
      </c>
    </row>
    <row r="312">
      <c r="A312" t="inlineStr">
        <is>
          <t>subject08</t>
        </is>
      </c>
      <c r="B312" t="n">
        <v>34</v>
      </c>
      <c r="C312" t="n">
        <v>330</v>
      </c>
      <c r="D312" t="n">
        <v>370</v>
      </c>
      <c r="E312" t="n">
        <v>1.2939</v>
      </c>
      <c r="F312" t="n">
        <v>77.64</v>
      </c>
      <c r="G312">
        <f>H312/60</f>
        <v/>
      </c>
      <c r="H312">
        <f>MEDIAN(I308,I309,I310,I311,I312,I313,I314,I315,I316)</f>
        <v/>
      </c>
      <c r="I312" t="n">
        <v>76.5</v>
      </c>
      <c r="J312">
        <f>H312-F312</f>
        <v/>
      </c>
      <c r="K312">
        <f>ABS(J312)</f>
        <v/>
      </c>
      <c r="L312">
        <f>K312/F312*100</f>
        <v/>
      </c>
    </row>
    <row r="313">
      <c r="A313" t="inlineStr">
        <is>
          <t>subject08</t>
        </is>
      </c>
      <c r="B313" t="n">
        <v>35</v>
      </c>
      <c r="C313" t="n">
        <v>340</v>
      </c>
      <c r="D313" t="n">
        <v>380</v>
      </c>
      <c r="E313" t="n">
        <v>1.3033</v>
      </c>
      <c r="F313" t="n">
        <v>78.2</v>
      </c>
      <c r="G313">
        <f>H313/60</f>
        <v/>
      </c>
      <c r="H313">
        <f>MEDIAN(I309,I310,I311,I312,I313,I314,I315,I316,I317)</f>
        <v/>
      </c>
      <c r="I313" t="n">
        <v>82.5</v>
      </c>
      <c r="J313">
        <f>H313-F313</f>
        <v/>
      </c>
      <c r="K313">
        <f>ABS(J313)</f>
        <v/>
      </c>
      <c r="L313">
        <f>K313/F313*100</f>
        <v/>
      </c>
    </row>
    <row r="314">
      <c r="A314" t="inlineStr">
        <is>
          <t>subject08</t>
        </is>
      </c>
      <c r="B314" t="n">
        <v>36</v>
      </c>
      <c r="C314" t="n">
        <v>350</v>
      </c>
      <c r="D314" t="n">
        <v>390</v>
      </c>
      <c r="E314" t="n">
        <v>1.3081</v>
      </c>
      <c r="F314" t="n">
        <v>78.48999999999999</v>
      </c>
      <c r="G314">
        <f>H314/60</f>
        <v/>
      </c>
      <c r="H314">
        <f>MEDIAN(I310,I311,I312,I313,I314,I315,I316,I317,0)</f>
        <v/>
      </c>
      <c r="I314" t="n">
        <v>70.5</v>
      </c>
      <c r="J314">
        <f>H314-F314</f>
        <v/>
      </c>
      <c r="K314">
        <f>ABS(J314)</f>
        <v/>
      </c>
      <c r="L314">
        <f>K314/F314*100</f>
        <v/>
      </c>
    </row>
    <row r="315">
      <c r="A315" t="inlineStr">
        <is>
          <t>subject08</t>
        </is>
      </c>
      <c r="B315" t="n">
        <v>37</v>
      </c>
      <c r="C315" t="n">
        <v>360</v>
      </c>
      <c r="D315" t="n">
        <v>400</v>
      </c>
      <c r="E315" t="n">
        <v>1.3009</v>
      </c>
      <c r="F315" t="n">
        <v>78.06</v>
      </c>
      <c r="G315">
        <f>H315/60</f>
        <v/>
      </c>
      <c r="H315">
        <f>MEDIAN(I311,I312,I313,I314,I315,I316,I317,0,0)</f>
        <v/>
      </c>
      <c r="I315" t="n">
        <v>79.5</v>
      </c>
      <c r="J315">
        <f>H315-F315</f>
        <v/>
      </c>
      <c r="K315">
        <f>ABS(J315)</f>
        <v/>
      </c>
      <c r="L315">
        <f>K315/F315*100</f>
        <v/>
      </c>
    </row>
    <row r="316">
      <c r="A316" t="inlineStr">
        <is>
          <t>subject08</t>
        </is>
      </c>
      <c r="B316" t="n">
        <v>38</v>
      </c>
      <c r="C316" t="n">
        <v>370</v>
      </c>
      <c r="D316" t="n">
        <v>410</v>
      </c>
      <c r="E316" t="n">
        <v>1.2871</v>
      </c>
      <c r="F316" t="n">
        <v>77.22</v>
      </c>
      <c r="G316">
        <f>H316/60</f>
        <v/>
      </c>
      <c r="H316">
        <f>MEDIAN(I312,I313,I314,I315,I316,I317,0,0,0)</f>
        <v/>
      </c>
      <c r="I316" t="n">
        <v>75</v>
      </c>
      <c r="J316">
        <f>H316-F316</f>
        <v/>
      </c>
      <c r="K316">
        <f>ABS(J316)</f>
        <v/>
      </c>
      <c r="L316">
        <f>K316/F316*100</f>
        <v/>
      </c>
    </row>
    <row r="317">
      <c r="A317" t="inlineStr">
        <is>
          <t>subject08</t>
        </is>
      </c>
      <c r="B317" t="n">
        <v>39</v>
      </c>
      <c r="C317" t="n">
        <v>380</v>
      </c>
      <c r="D317" t="n">
        <v>420</v>
      </c>
      <c r="E317" t="n">
        <v>1.275</v>
      </c>
      <c r="F317" t="n">
        <v>76.5</v>
      </c>
      <c r="G317">
        <f>H317/60</f>
        <v/>
      </c>
      <c r="H317">
        <f>MEDIAN(I313,I314,I315,I316,I317,0,0,0,0)</f>
        <v/>
      </c>
      <c r="I317" t="n">
        <v>75</v>
      </c>
      <c r="J317">
        <f>H317-F317</f>
        <v/>
      </c>
      <c r="K317">
        <f>ABS(J317)</f>
        <v/>
      </c>
      <c r="L317">
        <f>K317/F317*100</f>
        <v/>
      </c>
    </row>
    <row r="318">
      <c r="A318" t="inlineStr">
        <is>
          <t>subject09</t>
        </is>
      </c>
      <c r="B318" t="n">
        <v>1</v>
      </c>
      <c r="C318" t="n">
        <v>0</v>
      </c>
      <c r="D318" t="n">
        <v>40</v>
      </c>
      <c r="E318" t="n">
        <v>1.4246</v>
      </c>
      <c r="F318" t="n">
        <v>85.48</v>
      </c>
      <c r="G318">
        <f>H318/60</f>
        <v/>
      </c>
      <c r="H318">
        <f>MEDIAN(0,0,0,0,I318,I319,I320,I321,I322)</f>
        <v/>
      </c>
      <c r="I318" t="n">
        <v>73.5</v>
      </c>
      <c r="J318">
        <f>H318-F318</f>
        <v/>
      </c>
      <c r="K318">
        <f>ABS(J318)</f>
        <v/>
      </c>
      <c r="L318">
        <f>K318/F318*100</f>
        <v/>
      </c>
    </row>
    <row r="319">
      <c r="A319" t="inlineStr">
        <is>
          <t>subject09</t>
        </is>
      </c>
      <c r="B319" t="n">
        <v>2</v>
      </c>
      <c r="C319" t="n">
        <v>10</v>
      </c>
      <c r="D319" t="n">
        <v>50</v>
      </c>
      <c r="E319" t="n">
        <v>1.3915</v>
      </c>
      <c r="F319" t="n">
        <v>83.48999999999999</v>
      </c>
      <c r="G319">
        <f>H319/60</f>
        <v/>
      </c>
      <c r="H319">
        <f>MEDIAN(0,0,0,I318,I319,I320,I321,I322,I323)</f>
        <v/>
      </c>
      <c r="I319" t="n">
        <v>82.5</v>
      </c>
      <c r="J319">
        <f>H319-F319</f>
        <v/>
      </c>
      <c r="K319">
        <f>ABS(J319)</f>
        <v/>
      </c>
      <c r="L319">
        <f>K319/F319*100</f>
        <v/>
      </c>
    </row>
    <row r="320">
      <c r="A320" t="inlineStr">
        <is>
          <t>subject09</t>
        </is>
      </c>
      <c r="B320" t="n">
        <v>3</v>
      </c>
      <c r="C320" t="n">
        <v>20</v>
      </c>
      <c r="D320" t="n">
        <v>60</v>
      </c>
      <c r="E320" t="n">
        <v>1.3763</v>
      </c>
      <c r="F320" t="n">
        <v>82.58</v>
      </c>
      <c r="G320">
        <f>H320/60</f>
        <v/>
      </c>
      <c r="H320">
        <f>MEDIAN(0,0,I318,I319,I320,I321,I322,I323,I324)</f>
        <v/>
      </c>
      <c r="I320" t="n">
        <v>82.5</v>
      </c>
      <c r="J320">
        <f>H320-F320</f>
        <v/>
      </c>
      <c r="K320">
        <f>ABS(J320)</f>
        <v/>
      </c>
      <c r="L320">
        <f>K320/F320*100</f>
        <v/>
      </c>
    </row>
    <row r="321">
      <c r="A321" t="inlineStr">
        <is>
          <t>subject09</t>
        </is>
      </c>
      <c r="B321" t="n">
        <v>4</v>
      </c>
      <c r="C321" t="n">
        <v>30</v>
      </c>
      <c r="D321" t="n">
        <v>70</v>
      </c>
      <c r="E321" t="n">
        <v>1.3786</v>
      </c>
      <c r="F321" t="n">
        <v>82.72</v>
      </c>
      <c r="G321">
        <f>H321/60</f>
        <v/>
      </c>
      <c r="H321">
        <f>MEDIAN(0,I318,I319,I320,I321,I322,I323,I324,I325)</f>
        <v/>
      </c>
      <c r="I321" t="n">
        <v>82.5</v>
      </c>
      <c r="J321">
        <f>H321-F321</f>
        <v/>
      </c>
      <c r="K321">
        <f>ABS(J321)</f>
        <v/>
      </c>
      <c r="L321">
        <f>K321/F321*100</f>
        <v/>
      </c>
    </row>
    <row r="322">
      <c r="A322" t="inlineStr">
        <is>
          <t>subject09</t>
        </is>
      </c>
      <c r="B322" t="n">
        <v>5</v>
      </c>
      <c r="C322" t="n">
        <v>40</v>
      </c>
      <c r="D322" t="n">
        <v>80</v>
      </c>
      <c r="E322" t="n">
        <v>1.3747</v>
      </c>
      <c r="F322" t="n">
        <v>82.48</v>
      </c>
      <c r="G322">
        <f>H322/60</f>
        <v/>
      </c>
      <c r="H322">
        <f>MEDIAN(I318,I319,I320,I321,I322,I323,I324,I325,I326)</f>
        <v/>
      </c>
      <c r="I322" t="n">
        <v>82.5</v>
      </c>
      <c r="J322">
        <f>H322-F322</f>
        <v/>
      </c>
      <c r="K322">
        <f>ABS(J322)</f>
        <v/>
      </c>
      <c r="L322">
        <f>K322/F322*100</f>
        <v/>
      </c>
    </row>
    <row r="323">
      <c r="A323" t="inlineStr">
        <is>
          <t>subject09</t>
        </is>
      </c>
      <c r="B323" t="n">
        <v>6</v>
      </c>
      <c r="C323" t="n">
        <v>50</v>
      </c>
      <c r="D323" t="n">
        <v>90</v>
      </c>
      <c r="E323" t="n">
        <v>1.3837</v>
      </c>
      <c r="F323" t="n">
        <v>83.02</v>
      </c>
      <c r="G323">
        <f>H323/60</f>
        <v/>
      </c>
      <c r="H323">
        <f>MEDIAN(I319,I320,I321,I322,I323,I324,I325,I326,I327)</f>
        <v/>
      </c>
      <c r="I323" t="n">
        <v>82.5</v>
      </c>
      <c r="J323">
        <f>H323-F323</f>
        <v/>
      </c>
      <c r="K323">
        <f>ABS(J323)</f>
        <v/>
      </c>
      <c r="L323">
        <f>K323/F323*100</f>
        <v/>
      </c>
    </row>
    <row r="324">
      <c r="A324" t="inlineStr">
        <is>
          <t>subject09</t>
        </is>
      </c>
      <c r="B324" t="n">
        <v>7</v>
      </c>
      <c r="C324" t="n">
        <v>60</v>
      </c>
      <c r="D324" t="n">
        <v>100</v>
      </c>
      <c r="E324" t="n">
        <v>1.3806</v>
      </c>
      <c r="F324" t="n">
        <v>82.83</v>
      </c>
      <c r="G324">
        <f>H324/60</f>
        <v/>
      </c>
      <c r="H324">
        <f>MEDIAN(I320,I321,I322,I323,I324,I325,I326,I327,I328)</f>
        <v/>
      </c>
      <c r="I324" t="n">
        <v>82.5</v>
      </c>
      <c r="J324">
        <f>H324-F324</f>
        <v/>
      </c>
      <c r="K324">
        <f>ABS(J324)</f>
        <v/>
      </c>
      <c r="L324">
        <f>K324/F324*100</f>
        <v/>
      </c>
    </row>
    <row r="325">
      <c r="A325" t="inlineStr">
        <is>
          <t>subject09</t>
        </is>
      </c>
      <c r="B325" t="n">
        <v>8</v>
      </c>
      <c r="C325" t="n">
        <v>70</v>
      </c>
      <c r="D325" t="n">
        <v>110</v>
      </c>
      <c r="E325" t="n">
        <v>1.3807</v>
      </c>
      <c r="F325" t="n">
        <v>82.84</v>
      </c>
      <c r="G325">
        <f>H325/60</f>
        <v/>
      </c>
      <c r="H325">
        <f>MEDIAN(I321,I322,I323,I324,I325,I326,I327,I328,I329)</f>
        <v/>
      </c>
      <c r="I325" t="n">
        <v>84</v>
      </c>
      <c r="J325">
        <f>H325-F325</f>
        <v/>
      </c>
      <c r="K325">
        <f>ABS(J325)</f>
        <v/>
      </c>
      <c r="L325">
        <f>K325/F325*100</f>
        <v/>
      </c>
    </row>
    <row r="326">
      <c r="A326" t="inlineStr">
        <is>
          <t>subject09</t>
        </is>
      </c>
      <c r="B326" t="n">
        <v>9</v>
      </c>
      <c r="C326" t="n">
        <v>80</v>
      </c>
      <c r="D326" t="n">
        <v>120</v>
      </c>
      <c r="E326" t="n">
        <v>1.3866</v>
      </c>
      <c r="F326" t="n">
        <v>83.2</v>
      </c>
      <c r="G326">
        <f>H326/60</f>
        <v/>
      </c>
      <c r="H326">
        <f>MEDIAN(I322,I323,I324,I325,I326,I327,I328,I329,I330)</f>
        <v/>
      </c>
      <c r="I326" t="n">
        <v>70.5</v>
      </c>
      <c r="J326">
        <f>H326-F326</f>
        <v/>
      </c>
      <c r="K326">
        <f>ABS(J326)</f>
        <v/>
      </c>
      <c r="L326">
        <f>K326/F326*100</f>
        <v/>
      </c>
    </row>
    <row r="327">
      <c r="A327" t="inlineStr">
        <is>
          <t>subject09</t>
        </is>
      </c>
      <c r="B327" t="n">
        <v>10</v>
      </c>
      <c r="C327" t="n">
        <v>90</v>
      </c>
      <c r="D327" t="n">
        <v>130</v>
      </c>
      <c r="E327" t="n">
        <v>1.3836</v>
      </c>
      <c r="F327" t="n">
        <v>83.02</v>
      </c>
      <c r="G327">
        <f>H327/60</f>
        <v/>
      </c>
      <c r="H327">
        <f>MEDIAN(I323,I324,I325,I326,I327,I328,I329,I330,I331)</f>
        <v/>
      </c>
      <c r="I327" t="n">
        <v>72</v>
      </c>
      <c r="J327">
        <f>H327-F327</f>
        <v/>
      </c>
      <c r="K327">
        <f>ABS(J327)</f>
        <v/>
      </c>
      <c r="L327">
        <f>K327/F327*100</f>
        <v/>
      </c>
    </row>
    <row r="328">
      <c r="A328" t="inlineStr">
        <is>
          <t>subject09</t>
        </is>
      </c>
      <c r="B328" t="n">
        <v>11</v>
      </c>
      <c r="C328" t="n">
        <v>100</v>
      </c>
      <c r="D328" t="n">
        <v>140</v>
      </c>
      <c r="E328" t="n">
        <v>1.387</v>
      </c>
      <c r="F328" t="n">
        <v>83.22</v>
      </c>
      <c r="G328">
        <f>H328/60</f>
        <v/>
      </c>
      <c r="H328">
        <f>MEDIAN(I324,I325,I326,I327,I328,I329,I330,I331,I332)</f>
        <v/>
      </c>
      <c r="I328" t="n">
        <v>73.5</v>
      </c>
      <c r="J328">
        <f>H328-F328</f>
        <v/>
      </c>
      <c r="K328">
        <f>ABS(J328)</f>
        <v/>
      </c>
      <c r="L328">
        <f>K328/F328*100</f>
        <v/>
      </c>
    </row>
    <row r="329">
      <c r="A329" t="inlineStr">
        <is>
          <t>subject09</t>
        </is>
      </c>
      <c r="B329" t="n">
        <v>12</v>
      </c>
      <c r="C329" t="n">
        <v>110</v>
      </c>
      <c r="D329" t="n">
        <v>150</v>
      </c>
      <c r="E329" t="n">
        <v>1.3903</v>
      </c>
      <c r="F329" t="n">
        <v>83.42</v>
      </c>
      <c r="G329">
        <f>H329/60</f>
        <v/>
      </c>
      <c r="H329">
        <f>MEDIAN(I325,I326,I327,I328,I329,I330,I331,I332,I333)</f>
        <v/>
      </c>
      <c r="I329" t="n">
        <v>84</v>
      </c>
      <c r="J329">
        <f>H329-F329</f>
        <v/>
      </c>
      <c r="K329">
        <f>ABS(J329)</f>
        <v/>
      </c>
      <c r="L329">
        <f>K329/F329*100</f>
        <v/>
      </c>
    </row>
    <row r="330">
      <c r="A330" t="inlineStr">
        <is>
          <t>subject09</t>
        </is>
      </c>
      <c r="B330" t="n">
        <v>13</v>
      </c>
      <c r="C330" t="n">
        <v>120</v>
      </c>
      <c r="D330" t="n">
        <v>160</v>
      </c>
      <c r="E330" t="n">
        <v>1.3956</v>
      </c>
      <c r="F330" t="n">
        <v>83.73</v>
      </c>
      <c r="G330">
        <f>H330/60</f>
        <v/>
      </c>
      <c r="H330">
        <f>MEDIAN(I326,I327,I328,I329,I330,I331,I332,I333,I334)</f>
        <v/>
      </c>
      <c r="I330" t="n">
        <v>84</v>
      </c>
      <c r="J330">
        <f>H330-F330</f>
        <v/>
      </c>
      <c r="K330">
        <f>ABS(J330)</f>
        <v/>
      </c>
      <c r="L330">
        <f>K330/F330*100</f>
        <v/>
      </c>
    </row>
    <row r="331">
      <c r="A331" t="inlineStr">
        <is>
          <t>subject09</t>
        </is>
      </c>
      <c r="B331" t="n">
        <v>14</v>
      </c>
      <c r="C331" t="n">
        <v>130</v>
      </c>
      <c r="D331" t="n">
        <v>170</v>
      </c>
      <c r="E331" t="n">
        <v>1.3923</v>
      </c>
      <c r="F331" t="n">
        <v>83.54000000000001</v>
      </c>
      <c r="G331">
        <f>H331/60</f>
        <v/>
      </c>
      <c r="H331">
        <f>MEDIAN(I327,I328,I329,I330,I331,I332,I333,I334,I335)</f>
        <v/>
      </c>
      <c r="I331" t="n">
        <v>82.5</v>
      </c>
      <c r="J331">
        <f>H331-F331</f>
        <v/>
      </c>
      <c r="K331">
        <f>ABS(J331)</f>
        <v/>
      </c>
      <c r="L331">
        <f>K331/F331*100</f>
        <v/>
      </c>
    </row>
    <row r="332">
      <c r="A332" t="inlineStr">
        <is>
          <t>subject09</t>
        </is>
      </c>
      <c r="B332" t="n">
        <v>15</v>
      </c>
      <c r="C332" t="n">
        <v>140</v>
      </c>
      <c r="D332" t="n">
        <v>180</v>
      </c>
      <c r="E332" t="n">
        <v>1.3891</v>
      </c>
      <c r="F332" t="n">
        <v>83.34</v>
      </c>
      <c r="G332">
        <f>H332/60</f>
        <v/>
      </c>
      <c r="H332">
        <f>MEDIAN(I328,I329,I330,I331,I332,I333,I334,I335,I336)</f>
        <v/>
      </c>
      <c r="I332" t="n">
        <v>84</v>
      </c>
      <c r="J332">
        <f>H332-F332</f>
        <v/>
      </c>
      <c r="K332">
        <f>ABS(J332)</f>
        <v/>
      </c>
      <c r="L332">
        <f>K332/F332*100</f>
        <v/>
      </c>
    </row>
    <row r="333">
      <c r="A333" t="inlineStr">
        <is>
          <t>subject09</t>
        </is>
      </c>
      <c r="B333" t="n">
        <v>16</v>
      </c>
      <c r="C333" t="n">
        <v>150</v>
      </c>
      <c r="D333" t="n">
        <v>190</v>
      </c>
      <c r="E333" t="n">
        <v>1.3837</v>
      </c>
      <c r="F333" t="n">
        <v>83.02</v>
      </c>
      <c r="G333">
        <f>H333/60</f>
        <v/>
      </c>
      <c r="H333">
        <f>MEDIAN(I329,I330,I331,I332,I333,I334,I335,I336,I337)</f>
        <v/>
      </c>
      <c r="I333" t="n">
        <v>82.5</v>
      </c>
      <c r="J333">
        <f>H333-F333</f>
        <v/>
      </c>
      <c r="K333">
        <f>ABS(J333)</f>
        <v/>
      </c>
      <c r="L333">
        <f>K333/F333*100</f>
        <v/>
      </c>
    </row>
    <row r="334">
      <c r="A334" t="inlineStr">
        <is>
          <t>subject09</t>
        </is>
      </c>
      <c r="B334" t="n">
        <v>17</v>
      </c>
      <c r="C334" t="n">
        <v>160</v>
      </c>
      <c r="D334" t="n">
        <v>200</v>
      </c>
      <c r="E334" t="n">
        <v>1.3813</v>
      </c>
      <c r="F334" t="n">
        <v>82.88</v>
      </c>
      <c r="G334">
        <f>H334/60</f>
        <v/>
      </c>
      <c r="H334">
        <f>MEDIAN(I330,I331,I332,I333,I334,I335,I336,I337,I338)</f>
        <v/>
      </c>
      <c r="I334" t="n">
        <v>82.5</v>
      </c>
      <c r="J334">
        <f>H334-F334</f>
        <v/>
      </c>
      <c r="K334">
        <f>ABS(J334)</f>
        <v/>
      </c>
      <c r="L334">
        <f>K334/F334*100</f>
        <v/>
      </c>
    </row>
    <row r="335">
      <c r="A335" t="inlineStr">
        <is>
          <t>subject09</t>
        </is>
      </c>
      <c r="B335" t="n">
        <v>18</v>
      </c>
      <c r="C335" t="n">
        <v>170</v>
      </c>
      <c r="D335" t="n">
        <v>210</v>
      </c>
      <c r="E335" t="n">
        <v>1.3942</v>
      </c>
      <c r="F335" t="n">
        <v>83.65000000000001</v>
      </c>
      <c r="G335">
        <f>H335/60</f>
        <v/>
      </c>
      <c r="H335">
        <f>MEDIAN(I331,I332,I333,I334,I335,I336,I337,I338,I339)</f>
        <v/>
      </c>
      <c r="I335" t="n">
        <v>82.5</v>
      </c>
      <c r="J335">
        <f>H335-F335</f>
        <v/>
      </c>
      <c r="K335">
        <f>ABS(J335)</f>
        <v/>
      </c>
      <c r="L335">
        <f>K335/F335*100</f>
        <v/>
      </c>
    </row>
    <row r="336">
      <c r="A336" t="inlineStr">
        <is>
          <t>subject09</t>
        </is>
      </c>
      <c r="B336" t="n">
        <v>19</v>
      </c>
      <c r="C336" t="n">
        <v>180</v>
      </c>
      <c r="D336" t="n">
        <v>220</v>
      </c>
      <c r="E336" t="n">
        <v>1.4176</v>
      </c>
      <c r="F336" t="n">
        <v>85.06</v>
      </c>
      <c r="G336">
        <f>H336/60</f>
        <v/>
      </c>
      <c r="H336">
        <f>MEDIAN(I332,I333,I334,I335,I336,I337,I338,I339,I340)</f>
        <v/>
      </c>
      <c r="I336" t="n">
        <v>85.5</v>
      </c>
      <c r="J336">
        <f>H336-F336</f>
        <v/>
      </c>
      <c r="K336">
        <f>ABS(J336)</f>
        <v/>
      </c>
      <c r="L336">
        <f>K336/F336*100</f>
        <v/>
      </c>
    </row>
    <row r="337">
      <c r="A337" t="inlineStr">
        <is>
          <t>subject09</t>
        </is>
      </c>
      <c r="B337" t="n">
        <v>20</v>
      </c>
      <c r="C337" t="n">
        <v>190</v>
      </c>
      <c r="D337" t="n">
        <v>230</v>
      </c>
      <c r="E337" t="n">
        <v>1.4423</v>
      </c>
      <c r="F337" t="n">
        <v>86.54000000000001</v>
      </c>
      <c r="G337">
        <f>H337/60</f>
        <v/>
      </c>
      <c r="H337">
        <f>MEDIAN(I333,I334,I335,I336,I337,I338,I339,I340,I341)</f>
        <v/>
      </c>
      <c r="I337" t="n">
        <v>87</v>
      </c>
      <c r="J337">
        <f>H337-F337</f>
        <v/>
      </c>
      <c r="K337">
        <f>ABS(J337)</f>
        <v/>
      </c>
      <c r="L337">
        <f>K337/F337*100</f>
        <v/>
      </c>
    </row>
    <row r="338">
      <c r="A338" t="inlineStr">
        <is>
          <t>subject09</t>
        </is>
      </c>
      <c r="B338" t="n">
        <v>21</v>
      </c>
      <c r="C338" t="n">
        <v>200</v>
      </c>
      <c r="D338" t="n">
        <v>240</v>
      </c>
      <c r="E338" t="n">
        <v>1.4512</v>
      </c>
      <c r="F338" t="n">
        <v>87.06999999999999</v>
      </c>
      <c r="G338">
        <f>H338/60</f>
        <v/>
      </c>
      <c r="H338">
        <f>MEDIAN(I334,I335,I336,I337,I338,I339,I340,I341,I342)</f>
        <v/>
      </c>
      <c r="I338" t="n">
        <v>87</v>
      </c>
      <c r="J338">
        <f>H338-F338</f>
        <v/>
      </c>
      <c r="K338">
        <f>ABS(J338)</f>
        <v/>
      </c>
      <c r="L338">
        <f>K338/F338*100</f>
        <v/>
      </c>
    </row>
    <row r="339">
      <c r="A339" t="inlineStr">
        <is>
          <t>subject09</t>
        </is>
      </c>
      <c r="B339" t="n">
        <v>22</v>
      </c>
      <c r="C339" t="n">
        <v>210</v>
      </c>
      <c r="D339" t="n">
        <v>250</v>
      </c>
      <c r="E339" t="n">
        <v>1.4369</v>
      </c>
      <c r="F339" t="n">
        <v>86.20999999999999</v>
      </c>
      <c r="G339">
        <f>H339/60</f>
        <v/>
      </c>
      <c r="H339">
        <f>MEDIAN(I335,I336,I337,I338,I339,I340,I341,I342,I343)</f>
        <v/>
      </c>
      <c r="I339" t="n">
        <v>87</v>
      </c>
      <c r="J339">
        <f>H339-F339</f>
        <v/>
      </c>
      <c r="K339">
        <f>ABS(J339)</f>
        <v/>
      </c>
      <c r="L339">
        <f>K339/F339*100</f>
        <v/>
      </c>
    </row>
    <row r="340">
      <c r="A340" t="inlineStr">
        <is>
          <t>subject09</t>
        </is>
      </c>
      <c r="B340" t="n">
        <v>23</v>
      </c>
      <c r="C340" t="n">
        <v>220</v>
      </c>
      <c r="D340" t="n">
        <v>260</v>
      </c>
      <c r="E340" t="n">
        <v>1.4148</v>
      </c>
      <c r="F340" t="n">
        <v>84.89</v>
      </c>
      <c r="G340">
        <f>H340/60</f>
        <v/>
      </c>
      <c r="H340">
        <f>MEDIAN(I336,I337,I338,I339,I340,I341,I342,I343,I344)</f>
        <v/>
      </c>
      <c r="I340" t="n">
        <v>93</v>
      </c>
      <c r="J340">
        <f>H340-F340</f>
        <v/>
      </c>
      <c r="K340">
        <f>ABS(J340)</f>
        <v/>
      </c>
      <c r="L340">
        <f>K340/F340*100</f>
        <v/>
      </c>
    </row>
    <row r="341">
      <c r="A341" t="inlineStr">
        <is>
          <t>subject09</t>
        </is>
      </c>
      <c r="B341" t="n">
        <v>24</v>
      </c>
      <c r="C341" t="n">
        <v>230</v>
      </c>
      <c r="D341" t="n">
        <v>270</v>
      </c>
      <c r="E341" t="n">
        <v>1.4096</v>
      </c>
      <c r="F341" t="n">
        <v>84.56999999999999</v>
      </c>
      <c r="G341">
        <f>H341/60</f>
        <v/>
      </c>
      <c r="H341">
        <f>MEDIAN(I337,I338,I339,I340,I341,I342,I343,I344,I345)</f>
        <v/>
      </c>
      <c r="I341" t="n">
        <v>79.5</v>
      </c>
      <c r="J341">
        <f>H341-F341</f>
        <v/>
      </c>
      <c r="K341">
        <f>ABS(J341)</f>
        <v/>
      </c>
      <c r="L341">
        <f>K341/F341*100</f>
        <v/>
      </c>
    </row>
    <row r="342">
      <c r="A342" t="inlineStr">
        <is>
          <t>subject09</t>
        </is>
      </c>
      <c r="B342" t="n">
        <v>25</v>
      </c>
      <c r="C342" t="n">
        <v>240</v>
      </c>
      <c r="D342" t="n">
        <v>280</v>
      </c>
      <c r="E342" t="n">
        <v>1.411</v>
      </c>
      <c r="F342" t="n">
        <v>84.66</v>
      </c>
      <c r="G342">
        <f>H342/60</f>
        <v/>
      </c>
      <c r="H342">
        <f>MEDIAN(I338,I339,I340,I341,I342,I343,I344,I345,I346)</f>
        <v/>
      </c>
      <c r="I342" t="n">
        <v>87</v>
      </c>
      <c r="J342">
        <f>H342-F342</f>
        <v/>
      </c>
      <c r="K342">
        <f>ABS(J342)</f>
        <v/>
      </c>
      <c r="L342">
        <f>K342/F342*100</f>
        <v/>
      </c>
    </row>
    <row r="343">
      <c r="A343" t="inlineStr">
        <is>
          <t>subject09</t>
        </is>
      </c>
      <c r="B343" t="n">
        <v>26</v>
      </c>
      <c r="C343" t="n">
        <v>250</v>
      </c>
      <c r="D343" t="n">
        <v>290</v>
      </c>
      <c r="E343" t="n">
        <v>1.431</v>
      </c>
      <c r="F343" t="n">
        <v>85.86</v>
      </c>
      <c r="G343">
        <f>H343/60</f>
        <v/>
      </c>
      <c r="H343">
        <f>MEDIAN(I339,I340,I341,I342,I343,I344,I345,I346,I347)</f>
        <v/>
      </c>
      <c r="I343" t="n">
        <v>87</v>
      </c>
      <c r="J343">
        <f>H343-F343</f>
        <v/>
      </c>
      <c r="K343">
        <f>ABS(J343)</f>
        <v/>
      </c>
      <c r="L343">
        <f>K343/F343*100</f>
        <v/>
      </c>
    </row>
    <row r="344">
      <c r="A344" t="inlineStr">
        <is>
          <t>subject09</t>
        </is>
      </c>
      <c r="B344" t="n">
        <v>27</v>
      </c>
      <c r="C344" t="n">
        <v>260</v>
      </c>
      <c r="D344" t="n">
        <v>300</v>
      </c>
      <c r="E344" t="n">
        <v>1.4418</v>
      </c>
      <c r="F344" t="n">
        <v>86.51000000000001</v>
      </c>
      <c r="G344">
        <f>H344/60</f>
        <v/>
      </c>
      <c r="H344">
        <f>MEDIAN(I340,I341,I342,I343,I344,I345,I346,I347,I348)</f>
        <v/>
      </c>
      <c r="I344" t="n">
        <v>91.5</v>
      </c>
      <c r="J344">
        <f>H344-F344</f>
        <v/>
      </c>
      <c r="K344">
        <f>ABS(J344)</f>
        <v/>
      </c>
      <c r="L344">
        <f>K344/F344*100</f>
        <v/>
      </c>
    </row>
    <row r="345">
      <c r="A345" t="inlineStr">
        <is>
          <t>subject09</t>
        </is>
      </c>
      <c r="B345" t="n">
        <v>28</v>
      </c>
      <c r="C345" t="n">
        <v>270</v>
      </c>
      <c r="D345" t="n">
        <v>310</v>
      </c>
      <c r="E345" t="n">
        <v>1.4372</v>
      </c>
      <c r="F345" t="n">
        <v>86.23</v>
      </c>
      <c r="G345">
        <f>H345/60</f>
        <v/>
      </c>
      <c r="H345">
        <f>MEDIAN(I341,I342,I343,I344,I345,I346,I347,I348,I349)</f>
        <v/>
      </c>
      <c r="I345" t="n">
        <v>84</v>
      </c>
      <c r="J345">
        <f>H345-F345</f>
        <v/>
      </c>
      <c r="K345">
        <f>ABS(J345)</f>
        <v/>
      </c>
      <c r="L345">
        <f>K345/F345*100</f>
        <v/>
      </c>
    </row>
    <row r="346">
      <c r="A346" t="inlineStr">
        <is>
          <t>subject09</t>
        </is>
      </c>
      <c r="B346" t="n">
        <v>29</v>
      </c>
      <c r="C346" t="n">
        <v>280</v>
      </c>
      <c r="D346" t="n">
        <v>320</v>
      </c>
      <c r="E346" t="n">
        <v>1.4414</v>
      </c>
      <c r="F346" t="n">
        <v>86.48</v>
      </c>
      <c r="G346">
        <f>H346/60</f>
        <v/>
      </c>
      <c r="H346">
        <f>MEDIAN(I342,I343,I344,I345,I346,I347,I348,I349,I350)</f>
        <v/>
      </c>
      <c r="I346" t="n">
        <v>85.5</v>
      </c>
      <c r="J346">
        <f>H346-F346</f>
        <v/>
      </c>
      <c r="K346">
        <f>ABS(J346)</f>
        <v/>
      </c>
      <c r="L346">
        <f>K346/F346*100</f>
        <v/>
      </c>
    </row>
    <row r="347">
      <c r="A347" t="inlineStr">
        <is>
          <t>subject09</t>
        </is>
      </c>
      <c r="B347" t="n">
        <v>30</v>
      </c>
      <c r="C347" t="n">
        <v>290</v>
      </c>
      <c r="D347" t="n">
        <v>330</v>
      </c>
      <c r="E347" t="n">
        <v>1.4332</v>
      </c>
      <c r="F347" t="n">
        <v>85.98999999999999</v>
      </c>
      <c r="G347">
        <f>H347/60</f>
        <v/>
      </c>
      <c r="H347">
        <f>MEDIAN(I343,I344,I345,I346,I347,I348,I349,I350,I351)</f>
        <v/>
      </c>
      <c r="I347" t="n">
        <v>72</v>
      </c>
      <c r="J347">
        <f>H347-F347</f>
        <v/>
      </c>
      <c r="K347">
        <f>ABS(J347)</f>
        <v/>
      </c>
      <c r="L347">
        <f>K347/F347*100</f>
        <v/>
      </c>
    </row>
    <row r="348">
      <c r="A348" t="inlineStr">
        <is>
          <t>subject09</t>
        </is>
      </c>
      <c r="B348" t="n">
        <v>31</v>
      </c>
      <c r="C348" t="n">
        <v>300</v>
      </c>
      <c r="D348" t="n">
        <v>340</v>
      </c>
      <c r="E348" t="n">
        <v>1.4306</v>
      </c>
      <c r="F348" t="n">
        <v>85.84</v>
      </c>
      <c r="G348">
        <f>H348/60</f>
        <v/>
      </c>
      <c r="H348">
        <f>MEDIAN(I344,I345,I346,I347,I348,I349,I350,I351,I352)</f>
        <v/>
      </c>
      <c r="I348" t="n">
        <v>91.5</v>
      </c>
      <c r="J348">
        <f>H348-F348</f>
        <v/>
      </c>
      <c r="K348">
        <f>ABS(J348)</f>
        <v/>
      </c>
      <c r="L348">
        <f>K348/F348*100</f>
        <v/>
      </c>
    </row>
    <row r="349">
      <c r="A349" t="inlineStr">
        <is>
          <t>subject09</t>
        </is>
      </c>
      <c r="B349" t="n">
        <v>32</v>
      </c>
      <c r="C349" t="n">
        <v>310</v>
      </c>
      <c r="D349" t="n">
        <v>350</v>
      </c>
      <c r="E349" t="n">
        <v>1.4298</v>
      </c>
      <c r="F349" t="n">
        <v>85.79000000000001</v>
      </c>
      <c r="G349">
        <f>H349/60</f>
        <v/>
      </c>
      <c r="H349">
        <f>MEDIAN(I345,I346,I347,I348,I349,I350,I351,I352,I353)</f>
        <v/>
      </c>
      <c r="I349" t="n">
        <v>85.5</v>
      </c>
      <c r="J349">
        <f>H349-F349</f>
        <v/>
      </c>
      <c r="K349">
        <f>ABS(J349)</f>
        <v/>
      </c>
      <c r="L349">
        <f>K349/F349*100</f>
        <v/>
      </c>
    </row>
    <row r="350">
      <c r="A350" t="inlineStr">
        <is>
          <t>subject09</t>
        </is>
      </c>
      <c r="B350" t="n">
        <v>33</v>
      </c>
      <c r="C350" t="n">
        <v>320</v>
      </c>
      <c r="D350" t="n">
        <v>360</v>
      </c>
      <c r="E350" t="n">
        <v>1.4277</v>
      </c>
      <c r="F350" t="n">
        <v>85.66</v>
      </c>
      <c r="G350">
        <f>H350/60</f>
        <v/>
      </c>
      <c r="H350">
        <f>MEDIAN(I346,I347,I348,I349,I350,I351,I352,I353,I354)</f>
        <v/>
      </c>
      <c r="I350" t="n">
        <v>84</v>
      </c>
      <c r="J350">
        <f>H350-F350</f>
        <v/>
      </c>
      <c r="K350">
        <f>ABS(J350)</f>
        <v/>
      </c>
      <c r="L350">
        <f>K350/F350*100</f>
        <v/>
      </c>
    </row>
    <row r="351">
      <c r="A351" t="inlineStr">
        <is>
          <t>subject09</t>
        </is>
      </c>
      <c r="B351" t="n">
        <v>34</v>
      </c>
      <c r="C351" t="n">
        <v>330</v>
      </c>
      <c r="D351" t="n">
        <v>370</v>
      </c>
      <c r="E351" t="n">
        <v>1.4289</v>
      </c>
      <c r="F351" t="n">
        <v>85.73</v>
      </c>
      <c r="G351">
        <f>H351/60</f>
        <v/>
      </c>
      <c r="H351">
        <f>MEDIAN(I347,I348,I349,I350,I351,I352,I353,I354,I355)</f>
        <v/>
      </c>
      <c r="I351" t="n">
        <v>85.5</v>
      </c>
      <c r="J351">
        <f>H351-F351</f>
        <v/>
      </c>
      <c r="K351">
        <f>ABS(J351)</f>
        <v/>
      </c>
      <c r="L351">
        <f>K351/F351*100</f>
        <v/>
      </c>
    </row>
    <row r="352">
      <c r="A352" t="inlineStr">
        <is>
          <t>subject09</t>
        </is>
      </c>
      <c r="B352" t="n">
        <v>35</v>
      </c>
      <c r="C352" t="n">
        <v>340</v>
      </c>
      <c r="D352" t="n">
        <v>380</v>
      </c>
      <c r="E352" t="n">
        <v>1.4127</v>
      </c>
      <c r="F352" t="n">
        <v>84.76000000000001</v>
      </c>
      <c r="G352">
        <f>H352/60</f>
        <v/>
      </c>
      <c r="H352">
        <f>MEDIAN(I348,I349,I350,I351,I352,I353,I354,I355,I356)</f>
        <v/>
      </c>
      <c r="I352" t="n">
        <v>87</v>
      </c>
      <c r="J352">
        <f>H352-F352</f>
        <v/>
      </c>
      <c r="K352">
        <f>ABS(J352)</f>
        <v/>
      </c>
      <c r="L352">
        <f>K352/F352*100</f>
        <v/>
      </c>
    </row>
    <row r="353">
      <c r="A353" t="inlineStr">
        <is>
          <t>subject09</t>
        </is>
      </c>
      <c r="B353" t="n">
        <v>36</v>
      </c>
      <c r="C353" t="n">
        <v>350</v>
      </c>
      <c r="D353" t="n">
        <v>390</v>
      </c>
      <c r="E353" t="n">
        <v>1.4057</v>
      </c>
      <c r="F353" t="n">
        <v>84.34</v>
      </c>
      <c r="G353">
        <f>H353/60</f>
        <v/>
      </c>
      <c r="H353">
        <f>MEDIAN(I349,I350,I351,I352,I353,I354,I355,I356,I357)</f>
        <v/>
      </c>
      <c r="I353" t="n">
        <v>81</v>
      </c>
      <c r="J353">
        <f>H353-F353</f>
        <v/>
      </c>
      <c r="K353">
        <f>ABS(J353)</f>
        <v/>
      </c>
      <c r="L353">
        <f>K353/F353*100</f>
        <v/>
      </c>
    </row>
    <row r="354">
      <c r="A354" t="inlineStr">
        <is>
          <t>subject09</t>
        </is>
      </c>
      <c r="B354" t="n">
        <v>37</v>
      </c>
      <c r="C354" t="n">
        <v>360</v>
      </c>
      <c r="D354" t="n">
        <v>400</v>
      </c>
      <c r="E354" t="n">
        <v>1.3932</v>
      </c>
      <c r="F354" t="n">
        <v>83.59</v>
      </c>
      <c r="G354">
        <f>H354/60</f>
        <v/>
      </c>
      <c r="H354">
        <f>MEDIAN(I350,I351,I352,I353,I354,I355,I356,I357,0)</f>
        <v/>
      </c>
      <c r="I354" t="n">
        <v>82.5</v>
      </c>
      <c r="J354">
        <f>H354-F354</f>
        <v/>
      </c>
      <c r="K354">
        <f>ABS(J354)</f>
        <v/>
      </c>
      <c r="L354">
        <f>K354/F354*100</f>
        <v/>
      </c>
    </row>
    <row r="355">
      <c r="A355" t="inlineStr">
        <is>
          <t>subject09</t>
        </is>
      </c>
      <c r="B355" t="n">
        <v>38</v>
      </c>
      <c r="C355" t="n">
        <v>370</v>
      </c>
      <c r="D355" t="n">
        <v>410</v>
      </c>
      <c r="E355" t="n">
        <v>1.3792</v>
      </c>
      <c r="F355" t="n">
        <v>82.75</v>
      </c>
      <c r="G355">
        <f>H355/60</f>
        <v/>
      </c>
      <c r="H355">
        <f>MEDIAN(I351,I352,I353,I354,I355,I356,I357,0,0)</f>
        <v/>
      </c>
      <c r="I355" t="n">
        <v>84</v>
      </c>
      <c r="J355">
        <f>H355-F355</f>
        <v/>
      </c>
      <c r="K355">
        <f>ABS(J355)</f>
        <v/>
      </c>
      <c r="L355">
        <f>K355/F355*100</f>
        <v/>
      </c>
    </row>
    <row r="356">
      <c r="A356" t="inlineStr">
        <is>
          <t>subject09</t>
        </is>
      </c>
      <c r="B356" t="n">
        <v>39</v>
      </c>
      <c r="C356" t="n">
        <v>380</v>
      </c>
      <c r="D356" t="n">
        <v>420</v>
      </c>
      <c r="E356" t="n">
        <v>1.3902</v>
      </c>
      <c r="F356" t="n">
        <v>83.41</v>
      </c>
      <c r="G356">
        <f>H356/60</f>
        <v/>
      </c>
      <c r="H356">
        <f>MEDIAN(I352,I353,I354,I355,I356,I357,0,0,0)</f>
        <v/>
      </c>
      <c r="I356" t="n">
        <v>82.5</v>
      </c>
      <c r="J356">
        <f>H356-F356</f>
        <v/>
      </c>
      <c r="K356">
        <f>ABS(J356)</f>
        <v/>
      </c>
      <c r="L356">
        <f>K356/F356*100</f>
        <v/>
      </c>
    </row>
    <row r="357">
      <c r="A357" t="inlineStr">
        <is>
          <t>subject09</t>
        </is>
      </c>
      <c r="B357" t="n">
        <v>40</v>
      </c>
      <c r="C357" t="n">
        <v>390</v>
      </c>
      <c r="D357" t="n">
        <v>430</v>
      </c>
      <c r="E357" t="n">
        <v>1.3903</v>
      </c>
      <c r="F357" t="n">
        <v>83.42</v>
      </c>
      <c r="G357">
        <f>H357/60</f>
        <v/>
      </c>
      <c r="H357">
        <f>MEDIAN(I353,I354,I355,I356,I357,0,0,0,0)</f>
        <v/>
      </c>
      <c r="I357" t="n">
        <v>84</v>
      </c>
      <c r="J357">
        <f>H357-F357</f>
        <v/>
      </c>
      <c r="K357">
        <f>ABS(J357)</f>
        <v/>
      </c>
      <c r="L357">
        <f>K357/F357*100</f>
        <v/>
      </c>
    </row>
    <row r="358">
      <c r="A358" t="inlineStr">
        <is>
          <t>subject10</t>
        </is>
      </c>
      <c r="B358" t="n">
        <v>1</v>
      </c>
      <c r="C358" t="n">
        <v>0</v>
      </c>
      <c r="D358" t="n">
        <v>40</v>
      </c>
      <c r="E358" t="n">
        <v>1.0386</v>
      </c>
      <c r="F358" t="n">
        <v>62.32</v>
      </c>
      <c r="G358">
        <f>H358/60</f>
        <v/>
      </c>
      <c r="H358">
        <f>MEDIAN(0,0,0,0,I358,I359,I360,I361,I362)</f>
        <v/>
      </c>
      <c r="I358" t="n">
        <v>49.5</v>
      </c>
      <c r="J358">
        <f>H358-F358</f>
        <v/>
      </c>
      <c r="K358">
        <f>ABS(J358)</f>
        <v/>
      </c>
      <c r="L358">
        <f>K358/F358*100</f>
        <v/>
      </c>
    </row>
    <row r="359">
      <c r="A359" t="inlineStr">
        <is>
          <t>subject10</t>
        </is>
      </c>
      <c r="B359" t="n">
        <v>2</v>
      </c>
      <c r="C359" t="n">
        <v>10</v>
      </c>
      <c r="D359" t="n">
        <v>50</v>
      </c>
      <c r="E359" t="n">
        <v>1.0568</v>
      </c>
      <c r="F359" t="n">
        <v>63.41</v>
      </c>
      <c r="G359">
        <f>H359/60</f>
        <v/>
      </c>
      <c r="H359">
        <f>MEDIAN(0,0,0,I358,I359,I360,I361,I362,I363)</f>
        <v/>
      </c>
      <c r="I359" t="n">
        <v>90</v>
      </c>
      <c r="J359">
        <f>H359-F359</f>
        <v/>
      </c>
      <c r="K359">
        <f>ABS(J359)</f>
        <v/>
      </c>
      <c r="L359">
        <f>K359/F359*100</f>
        <v/>
      </c>
    </row>
    <row r="360">
      <c r="A360" t="inlineStr">
        <is>
          <t>subject10</t>
        </is>
      </c>
      <c r="B360" t="n">
        <v>3</v>
      </c>
      <c r="C360" t="n">
        <v>20</v>
      </c>
      <c r="D360" t="n">
        <v>60</v>
      </c>
      <c r="E360" t="n">
        <v>1.0809</v>
      </c>
      <c r="F360" t="n">
        <v>64.84999999999999</v>
      </c>
      <c r="G360">
        <f>H360/60</f>
        <v/>
      </c>
      <c r="H360">
        <f>MEDIAN(0,0,I358,I359,I360,I361,I362,I363,I364)</f>
        <v/>
      </c>
      <c r="I360" t="n">
        <v>91.5</v>
      </c>
      <c r="J360">
        <f>H360-F360</f>
        <v/>
      </c>
      <c r="K360">
        <f>ABS(J360)</f>
        <v/>
      </c>
      <c r="L360">
        <f>K360/F360*100</f>
        <v/>
      </c>
    </row>
    <row r="361">
      <c r="A361" t="inlineStr">
        <is>
          <t>subject10</t>
        </is>
      </c>
      <c r="B361" t="n">
        <v>4</v>
      </c>
      <c r="C361" t="n">
        <v>30</v>
      </c>
      <c r="D361" t="n">
        <v>70</v>
      </c>
      <c r="E361" t="n">
        <v>1.0706</v>
      </c>
      <c r="F361" t="n">
        <v>64.23999999999999</v>
      </c>
      <c r="G361">
        <f>H361/60</f>
        <v/>
      </c>
      <c r="H361">
        <f>MEDIAN(0,I358,I359,I360,I361,I362,I363,I364,I365)</f>
        <v/>
      </c>
      <c r="I361" t="n">
        <v>67.5</v>
      </c>
      <c r="J361">
        <f>H361-F361</f>
        <v/>
      </c>
      <c r="K361">
        <f>ABS(J361)</f>
        <v/>
      </c>
      <c r="L361">
        <f>K361/F361*100</f>
        <v/>
      </c>
    </row>
    <row r="362">
      <c r="A362" t="inlineStr">
        <is>
          <t>subject10</t>
        </is>
      </c>
      <c r="B362" t="n">
        <v>5</v>
      </c>
      <c r="C362" t="n">
        <v>40</v>
      </c>
      <c r="D362" t="n">
        <v>80</v>
      </c>
      <c r="E362" t="n">
        <v>1.0615</v>
      </c>
      <c r="F362" t="n">
        <v>63.69</v>
      </c>
      <c r="G362">
        <f>H362/60</f>
        <v/>
      </c>
      <c r="H362">
        <f>MEDIAN(I358,I359,I360,I361,I362,I363,I364,I365,I366)</f>
        <v/>
      </c>
      <c r="I362" t="n">
        <v>67.5</v>
      </c>
      <c r="J362">
        <f>H362-F362</f>
        <v/>
      </c>
      <c r="K362">
        <f>ABS(J362)</f>
        <v/>
      </c>
      <c r="L362">
        <f>K362/F362*100</f>
        <v/>
      </c>
    </row>
    <row r="363">
      <c r="A363" t="inlineStr">
        <is>
          <t>subject10</t>
        </is>
      </c>
      <c r="B363" t="n">
        <v>6</v>
      </c>
      <c r="C363" t="n">
        <v>50</v>
      </c>
      <c r="D363" t="n">
        <v>90</v>
      </c>
      <c r="E363" t="n">
        <v>1.0262</v>
      </c>
      <c r="F363" t="n">
        <v>61.57</v>
      </c>
      <c r="G363">
        <f>H363/60</f>
        <v/>
      </c>
      <c r="H363">
        <f>MEDIAN(I359,I360,I361,I362,I363,I364,I365,I366,I367)</f>
        <v/>
      </c>
      <c r="I363" t="n">
        <v>61.5</v>
      </c>
      <c r="J363">
        <f>H363-F363</f>
        <v/>
      </c>
      <c r="K363">
        <f>ABS(J363)</f>
        <v/>
      </c>
      <c r="L363">
        <f>K363/F363*100</f>
        <v/>
      </c>
    </row>
    <row r="364">
      <c r="A364" t="inlineStr">
        <is>
          <t>subject10</t>
        </is>
      </c>
      <c r="B364" t="n">
        <v>7</v>
      </c>
      <c r="C364" t="n">
        <v>60</v>
      </c>
      <c r="D364" t="n">
        <v>100</v>
      </c>
      <c r="E364" t="n">
        <v>1.0019</v>
      </c>
      <c r="F364" t="n">
        <v>60.11</v>
      </c>
      <c r="G364">
        <f>H364/60</f>
        <v/>
      </c>
      <c r="H364">
        <f>MEDIAN(I360,I361,I362,I363,I364,I365,I366,I367,I368)</f>
        <v/>
      </c>
      <c r="I364" t="n">
        <v>63</v>
      </c>
      <c r="J364">
        <f>H364-F364</f>
        <v/>
      </c>
      <c r="K364">
        <f>ABS(J364)</f>
        <v/>
      </c>
      <c r="L364">
        <f>K364/F364*100</f>
        <v/>
      </c>
    </row>
    <row r="365">
      <c r="A365" t="inlineStr">
        <is>
          <t>subject10</t>
        </is>
      </c>
      <c r="B365" t="n">
        <v>8</v>
      </c>
      <c r="C365" t="n">
        <v>70</v>
      </c>
      <c r="D365" t="n">
        <v>110</v>
      </c>
      <c r="E365" t="n">
        <v>0.9953</v>
      </c>
      <c r="F365" t="n">
        <v>59.72</v>
      </c>
      <c r="G365">
        <f>H365/60</f>
        <v/>
      </c>
      <c r="H365">
        <f>MEDIAN(I361,I362,I363,I364,I365,I366,I367,I368,I369)</f>
        <v/>
      </c>
      <c r="I365" t="n">
        <v>58.5</v>
      </c>
      <c r="J365">
        <f>H365-F365</f>
        <v/>
      </c>
      <c r="K365">
        <f>ABS(J365)</f>
        <v/>
      </c>
      <c r="L365">
        <f>K365/F365*100</f>
        <v/>
      </c>
    </row>
    <row r="366">
      <c r="A366" t="inlineStr">
        <is>
          <t>subject10</t>
        </is>
      </c>
      <c r="B366" t="n">
        <v>9</v>
      </c>
      <c r="C366" t="n">
        <v>80</v>
      </c>
      <c r="D366" t="n">
        <v>120</v>
      </c>
      <c r="E366" t="n">
        <v>0.984</v>
      </c>
      <c r="F366" t="n">
        <v>59.04</v>
      </c>
      <c r="G366">
        <f>H366/60</f>
        <v/>
      </c>
      <c r="H366">
        <f>MEDIAN(I362,I363,I364,I365,I366,I367,I368,I369,I370)</f>
        <v/>
      </c>
      <c r="I366" t="n">
        <v>60</v>
      </c>
      <c r="J366">
        <f>H366-F366</f>
        <v/>
      </c>
      <c r="K366">
        <f>ABS(J366)</f>
        <v/>
      </c>
      <c r="L366">
        <f>K366/F366*100</f>
        <v/>
      </c>
    </row>
    <row r="367">
      <c r="A367" t="inlineStr">
        <is>
          <t>subject10</t>
        </is>
      </c>
      <c r="B367" t="n">
        <v>10</v>
      </c>
      <c r="C367" t="n">
        <v>90</v>
      </c>
      <c r="D367" t="n">
        <v>130</v>
      </c>
      <c r="E367" t="n">
        <v>0.9809</v>
      </c>
      <c r="F367" t="n">
        <v>58.86</v>
      </c>
      <c r="G367">
        <f>H367/60</f>
        <v/>
      </c>
      <c r="H367">
        <f>MEDIAN(I363,I364,I365,I366,I367,I368,I369,I370,I371)</f>
        <v/>
      </c>
      <c r="I367" t="n">
        <v>60</v>
      </c>
      <c r="J367">
        <f>H367-F367</f>
        <v/>
      </c>
      <c r="K367">
        <f>ABS(J367)</f>
        <v/>
      </c>
      <c r="L367">
        <f>K367/F367*100</f>
        <v/>
      </c>
    </row>
    <row r="368">
      <c r="A368" t="inlineStr">
        <is>
          <t>subject10</t>
        </is>
      </c>
      <c r="B368" t="n">
        <v>11</v>
      </c>
      <c r="C368" t="n">
        <v>100</v>
      </c>
      <c r="D368" t="n">
        <v>140</v>
      </c>
      <c r="E368" t="n">
        <v>0.9739</v>
      </c>
      <c r="F368" t="n">
        <v>58.44</v>
      </c>
      <c r="G368">
        <f>H368/60</f>
        <v/>
      </c>
      <c r="H368">
        <f>MEDIAN(I364,I365,I366,I367,I368,I369,I370,I371,I372)</f>
        <v/>
      </c>
      <c r="I368" t="n">
        <v>57</v>
      </c>
      <c r="J368">
        <f>H368-F368</f>
        <v/>
      </c>
      <c r="K368">
        <f>ABS(J368)</f>
        <v/>
      </c>
      <c r="L368">
        <f>K368/F368*100</f>
        <v/>
      </c>
    </row>
    <row r="369">
      <c r="A369" t="inlineStr">
        <is>
          <t>subject10</t>
        </is>
      </c>
      <c r="B369" t="n">
        <v>12</v>
      </c>
      <c r="C369" t="n">
        <v>110</v>
      </c>
      <c r="D369" t="n">
        <v>150</v>
      </c>
      <c r="E369" t="n">
        <v>0.9774</v>
      </c>
      <c r="F369" t="n">
        <v>58.64</v>
      </c>
      <c r="G369">
        <f>H369/60</f>
        <v/>
      </c>
      <c r="H369">
        <f>MEDIAN(I365,I366,I367,I368,I369,I370,I371,I372,I373)</f>
        <v/>
      </c>
      <c r="I369" t="n">
        <v>57</v>
      </c>
      <c r="J369">
        <f>H369-F369</f>
        <v/>
      </c>
      <c r="K369">
        <f>ABS(J369)</f>
        <v/>
      </c>
      <c r="L369">
        <f>K369/F369*100</f>
        <v/>
      </c>
    </row>
    <row r="370">
      <c r="A370" t="inlineStr">
        <is>
          <t>subject10</t>
        </is>
      </c>
      <c r="B370" t="n">
        <v>13</v>
      </c>
      <c r="C370" t="n">
        <v>120</v>
      </c>
      <c r="D370" t="n">
        <v>160</v>
      </c>
      <c r="E370" t="n">
        <v>0.9811</v>
      </c>
      <c r="F370" t="n">
        <v>58.87</v>
      </c>
      <c r="G370">
        <f>H370/60</f>
        <v/>
      </c>
      <c r="H370">
        <f>MEDIAN(I366,I367,I368,I369,I370,I371,I372,I373,I374)</f>
        <v/>
      </c>
      <c r="I370" t="n">
        <v>64.5</v>
      </c>
      <c r="J370">
        <f>H370-F370</f>
        <v/>
      </c>
      <c r="K370">
        <f>ABS(J370)</f>
        <v/>
      </c>
      <c r="L370">
        <f>K370/F370*100</f>
        <v/>
      </c>
    </row>
    <row r="371">
      <c r="A371" t="inlineStr">
        <is>
          <t>subject10</t>
        </is>
      </c>
      <c r="B371" t="n">
        <v>14</v>
      </c>
      <c r="C371" t="n">
        <v>130</v>
      </c>
      <c r="D371" t="n">
        <v>170</v>
      </c>
      <c r="E371" t="n">
        <v>0.9821</v>
      </c>
      <c r="F371" t="n">
        <v>58.93</v>
      </c>
      <c r="G371">
        <f>H371/60</f>
        <v/>
      </c>
      <c r="H371">
        <f>MEDIAN(I367,I368,I369,I370,I371,I372,I373,I374,I375)</f>
        <v/>
      </c>
      <c r="I371" t="n">
        <v>88.5</v>
      </c>
      <c r="J371">
        <f>H371-F371</f>
        <v/>
      </c>
      <c r="K371">
        <f>ABS(J371)</f>
        <v/>
      </c>
      <c r="L371">
        <f>K371/F371*100</f>
        <v/>
      </c>
    </row>
    <row r="372">
      <c r="A372" t="inlineStr">
        <is>
          <t>subject10</t>
        </is>
      </c>
      <c r="B372" t="n">
        <v>15</v>
      </c>
      <c r="C372" t="n">
        <v>140</v>
      </c>
      <c r="D372" t="n">
        <v>180</v>
      </c>
      <c r="E372" t="n">
        <v>0.9852</v>
      </c>
      <c r="F372" t="n">
        <v>59.11</v>
      </c>
      <c r="G372">
        <f>H372/60</f>
        <v/>
      </c>
      <c r="H372">
        <f>MEDIAN(I368,I369,I370,I371,I372,I373,I374,I375,I376)</f>
        <v/>
      </c>
      <c r="I372" t="n">
        <v>90</v>
      </c>
      <c r="J372">
        <f>H372-F372</f>
        <v/>
      </c>
      <c r="K372">
        <f>ABS(J372)</f>
        <v/>
      </c>
      <c r="L372">
        <f>K372/F372*100</f>
        <v/>
      </c>
    </row>
    <row r="373">
      <c r="A373" t="inlineStr">
        <is>
          <t>subject10</t>
        </is>
      </c>
      <c r="B373" t="n">
        <v>16</v>
      </c>
      <c r="C373" t="n">
        <v>150</v>
      </c>
      <c r="D373" t="n">
        <v>190</v>
      </c>
      <c r="E373" t="n">
        <v>0.986</v>
      </c>
      <c r="F373" t="n">
        <v>59.16</v>
      </c>
      <c r="G373">
        <f>H373/60</f>
        <v/>
      </c>
      <c r="H373">
        <f>MEDIAN(I369,I370,I371,I372,I373,I374,I375,I376,I377)</f>
        <v/>
      </c>
      <c r="I373" t="n">
        <v>94.5</v>
      </c>
      <c r="J373">
        <f>H373-F373</f>
        <v/>
      </c>
      <c r="K373">
        <f>ABS(J373)</f>
        <v/>
      </c>
      <c r="L373">
        <f>K373/F373*100</f>
        <v/>
      </c>
    </row>
    <row r="374">
      <c r="A374" t="inlineStr">
        <is>
          <t>subject10</t>
        </is>
      </c>
      <c r="B374" t="n">
        <v>17</v>
      </c>
      <c r="C374" t="n">
        <v>160</v>
      </c>
      <c r="D374" t="n">
        <v>200</v>
      </c>
      <c r="E374" t="n">
        <v>0.9996</v>
      </c>
      <c r="F374" t="n">
        <v>59.98</v>
      </c>
      <c r="G374">
        <f>H374/60</f>
        <v/>
      </c>
      <c r="H374">
        <f>MEDIAN(I370,I371,I372,I373,I374,I375,I376,I377,I378)</f>
        <v/>
      </c>
      <c r="I374" t="n">
        <v>55.5</v>
      </c>
      <c r="J374">
        <f>H374-F374</f>
        <v/>
      </c>
      <c r="K374">
        <f>ABS(J374)</f>
        <v/>
      </c>
      <c r="L374">
        <f>K374/F374*100</f>
        <v/>
      </c>
    </row>
    <row r="375">
      <c r="A375" t="inlineStr">
        <is>
          <t>subject10</t>
        </is>
      </c>
      <c r="B375" t="n">
        <v>18</v>
      </c>
      <c r="C375" t="n">
        <v>170</v>
      </c>
      <c r="D375" t="n">
        <v>210</v>
      </c>
      <c r="E375" t="n">
        <v>1.0241</v>
      </c>
      <c r="F375" t="n">
        <v>61.44</v>
      </c>
      <c r="G375">
        <f>H375/60</f>
        <v/>
      </c>
      <c r="H375">
        <f>MEDIAN(I371,I372,I373,I374,I375,I376,I377,I378,I379)</f>
        <v/>
      </c>
      <c r="I375" t="n">
        <v>58.5</v>
      </c>
      <c r="J375">
        <f>H375-F375</f>
        <v/>
      </c>
      <c r="K375">
        <f>ABS(J375)</f>
        <v/>
      </c>
      <c r="L375">
        <f>K375/F375*100</f>
        <v/>
      </c>
    </row>
    <row r="376">
      <c r="A376" t="inlineStr">
        <is>
          <t>subject10</t>
        </is>
      </c>
      <c r="B376" t="n">
        <v>19</v>
      </c>
      <c r="C376" t="n">
        <v>180</v>
      </c>
      <c r="D376" t="n">
        <v>220</v>
      </c>
      <c r="E376" t="n">
        <v>1.0328</v>
      </c>
      <c r="F376" t="n">
        <v>61.97</v>
      </c>
      <c r="G376">
        <f>H376/60</f>
        <v/>
      </c>
      <c r="H376">
        <f>MEDIAN(I372,I373,I374,I375,I376,I377,I378,I379,I380)</f>
        <v/>
      </c>
      <c r="I376" t="n">
        <v>55.5</v>
      </c>
      <c r="J376">
        <f>H376-F376</f>
        <v/>
      </c>
      <c r="K376">
        <f>ABS(J376)</f>
        <v/>
      </c>
      <c r="L376">
        <f>K376/F376*100</f>
        <v/>
      </c>
    </row>
    <row r="377">
      <c r="A377" t="inlineStr">
        <is>
          <t>subject10</t>
        </is>
      </c>
      <c r="B377" t="n">
        <v>20</v>
      </c>
      <c r="C377" t="n">
        <v>190</v>
      </c>
      <c r="D377" t="n">
        <v>230</v>
      </c>
      <c r="E377" t="n">
        <v>1.034</v>
      </c>
      <c r="F377" t="n">
        <v>62.04</v>
      </c>
      <c r="G377">
        <f>H377/60</f>
        <v/>
      </c>
      <c r="H377">
        <f>MEDIAN(I373,I374,I375,I376,I377,I378,I379,I380,I381)</f>
        <v/>
      </c>
      <c r="I377" t="n">
        <v>63</v>
      </c>
      <c r="J377">
        <f>H377-F377</f>
        <v/>
      </c>
      <c r="K377">
        <f>ABS(J377)</f>
        <v/>
      </c>
      <c r="L377">
        <f>K377/F377*100</f>
        <v/>
      </c>
    </row>
    <row r="378">
      <c r="A378" t="inlineStr">
        <is>
          <t>subject10</t>
        </is>
      </c>
      <c r="B378" t="n">
        <v>21</v>
      </c>
      <c r="C378" t="n">
        <v>200</v>
      </c>
      <c r="D378" t="n">
        <v>240</v>
      </c>
      <c r="E378" t="n">
        <v>1.0244</v>
      </c>
      <c r="F378" t="n">
        <v>61.46</v>
      </c>
      <c r="G378">
        <f>H378/60</f>
        <v/>
      </c>
      <c r="H378">
        <f>MEDIAN(I374,I375,I376,I377,I378,I379,I380,I381,I382)</f>
        <v/>
      </c>
      <c r="I378" t="n">
        <v>61.5</v>
      </c>
      <c r="J378">
        <f>H378-F378</f>
        <v/>
      </c>
      <c r="K378">
        <f>ABS(J378)</f>
        <v/>
      </c>
      <c r="L378">
        <f>K378/F378*100</f>
        <v/>
      </c>
    </row>
    <row r="379">
      <c r="A379" t="inlineStr">
        <is>
          <t>subject10</t>
        </is>
      </c>
      <c r="B379" t="n">
        <v>22</v>
      </c>
      <c r="C379" t="n">
        <v>210</v>
      </c>
      <c r="D379" t="n">
        <v>250</v>
      </c>
      <c r="E379" t="n">
        <v>1.021</v>
      </c>
      <c r="F379" t="n">
        <v>61.26</v>
      </c>
      <c r="G379">
        <f>H379/60</f>
        <v/>
      </c>
      <c r="H379">
        <f>MEDIAN(I375,I376,I377,I378,I379,I380,I381,I382,I383)</f>
        <v/>
      </c>
      <c r="I379" t="n">
        <v>61.5</v>
      </c>
      <c r="J379">
        <f>H379-F379</f>
        <v/>
      </c>
      <c r="K379">
        <f>ABS(J379)</f>
        <v/>
      </c>
      <c r="L379">
        <f>K379/F379*100</f>
        <v/>
      </c>
    </row>
    <row r="380">
      <c r="A380" t="inlineStr">
        <is>
          <t>subject10</t>
        </is>
      </c>
      <c r="B380" t="n">
        <v>23</v>
      </c>
      <c r="C380" t="n">
        <v>220</v>
      </c>
      <c r="D380" t="n">
        <v>260</v>
      </c>
      <c r="E380" t="n">
        <v>1.0176</v>
      </c>
      <c r="F380" t="n">
        <v>61.06</v>
      </c>
      <c r="G380">
        <f>H380/60</f>
        <v/>
      </c>
      <c r="H380">
        <f>MEDIAN(I376,I377,I378,I379,I380,I381,I382,I383,I384)</f>
        <v/>
      </c>
      <c r="I380" t="n">
        <v>61.5</v>
      </c>
      <c r="J380">
        <f>H380-F380</f>
        <v/>
      </c>
      <c r="K380">
        <f>ABS(J380)</f>
        <v/>
      </c>
      <c r="L380">
        <f>K380/F380*100</f>
        <v/>
      </c>
    </row>
    <row r="381">
      <c r="A381" t="inlineStr">
        <is>
          <t>subject10</t>
        </is>
      </c>
      <c r="B381" t="n">
        <v>24</v>
      </c>
      <c r="C381" t="n">
        <v>230</v>
      </c>
      <c r="D381" t="n">
        <v>270</v>
      </c>
      <c r="E381" t="n">
        <v>1.006</v>
      </c>
      <c r="F381" t="n">
        <v>60.36</v>
      </c>
      <c r="G381">
        <f>H381/60</f>
        <v/>
      </c>
      <c r="H381">
        <f>MEDIAN(I377,I378,I379,I380,I381,I382,I383,I384,I385)</f>
        <v/>
      </c>
      <c r="I381" t="n">
        <v>94.5</v>
      </c>
      <c r="J381">
        <f>H381-F381</f>
        <v/>
      </c>
      <c r="K381">
        <f>ABS(J381)</f>
        <v/>
      </c>
      <c r="L381">
        <f>K381/F381*100</f>
        <v/>
      </c>
    </row>
    <row r="382">
      <c r="A382" t="inlineStr">
        <is>
          <t>subject10</t>
        </is>
      </c>
      <c r="B382" t="n">
        <v>25</v>
      </c>
      <c r="C382" t="n">
        <v>240</v>
      </c>
      <c r="D382" t="n">
        <v>280</v>
      </c>
      <c r="E382" t="n">
        <v>1.0175</v>
      </c>
      <c r="F382" t="n">
        <v>61.05</v>
      </c>
      <c r="G382">
        <f>H382/60</f>
        <v/>
      </c>
      <c r="H382">
        <f>MEDIAN(I378,I379,I380,I381,I382,I383,I384,I385,I386)</f>
        <v/>
      </c>
      <c r="I382" t="n">
        <v>94.5</v>
      </c>
      <c r="J382">
        <f>H382-F382</f>
        <v/>
      </c>
      <c r="K382">
        <f>ABS(J382)</f>
        <v/>
      </c>
      <c r="L382">
        <f>K382/F382*100</f>
        <v/>
      </c>
    </row>
    <row r="383">
      <c r="A383" t="inlineStr">
        <is>
          <t>subject10</t>
        </is>
      </c>
      <c r="B383" t="n">
        <v>26</v>
      </c>
      <c r="C383" t="n">
        <v>250</v>
      </c>
      <c r="D383" t="n">
        <v>290</v>
      </c>
      <c r="E383" t="n">
        <v>1.0336</v>
      </c>
      <c r="F383" t="n">
        <v>62.01</v>
      </c>
      <c r="G383">
        <f>H383/60</f>
        <v/>
      </c>
      <c r="H383">
        <f>MEDIAN(I379,I380,I381,I382,I383,I384,I385,I386,I387)</f>
        <v/>
      </c>
      <c r="I383" t="n">
        <v>93</v>
      </c>
      <c r="J383">
        <f>H383-F383</f>
        <v/>
      </c>
      <c r="K383">
        <f>ABS(J383)</f>
        <v/>
      </c>
      <c r="L383">
        <f>K383/F383*100</f>
        <v/>
      </c>
    </row>
    <row r="384">
      <c r="A384" t="inlineStr">
        <is>
          <t>subject10</t>
        </is>
      </c>
      <c r="B384" t="n">
        <v>27</v>
      </c>
      <c r="C384" t="n">
        <v>260</v>
      </c>
      <c r="D384" t="n">
        <v>300</v>
      </c>
      <c r="E384" t="n">
        <v>1.0337</v>
      </c>
      <c r="F384" t="n">
        <v>62.02</v>
      </c>
      <c r="G384">
        <f>H384/60</f>
        <v/>
      </c>
      <c r="H384">
        <f>MEDIAN(I380,I381,I382,I383,I384,I385,I386,I387,I388)</f>
        <v/>
      </c>
      <c r="I384" t="n">
        <v>66</v>
      </c>
      <c r="J384">
        <f>H384-F384</f>
        <v/>
      </c>
      <c r="K384">
        <f>ABS(J384)</f>
        <v/>
      </c>
      <c r="L384">
        <f>K384/F384*100</f>
        <v/>
      </c>
    </row>
    <row r="385">
      <c r="A385" t="inlineStr">
        <is>
          <t>subject10</t>
        </is>
      </c>
      <c r="B385" t="n">
        <v>28</v>
      </c>
      <c r="C385" t="n">
        <v>270</v>
      </c>
      <c r="D385" t="n">
        <v>310</v>
      </c>
      <c r="E385" t="n">
        <v>1.0347</v>
      </c>
      <c r="F385" t="n">
        <v>62.08</v>
      </c>
      <c r="G385">
        <f>H385/60</f>
        <v/>
      </c>
      <c r="H385">
        <f>MEDIAN(I381,I382,I383,I384,I385,I386,I387,I388,I389)</f>
        <v/>
      </c>
      <c r="I385" t="n">
        <v>61.5</v>
      </c>
      <c r="J385">
        <f>H385-F385</f>
        <v/>
      </c>
      <c r="K385">
        <f>ABS(J385)</f>
        <v/>
      </c>
      <c r="L385">
        <f>K385/F385*100</f>
        <v/>
      </c>
    </row>
    <row r="386">
      <c r="A386" t="inlineStr">
        <is>
          <t>subject10</t>
        </is>
      </c>
      <c r="B386" t="n">
        <v>29</v>
      </c>
      <c r="C386" t="n">
        <v>280</v>
      </c>
      <c r="D386" t="n">
        <v>320</v>
      </c>
      <c r="E386" t="n">
        <v>1.0319</v>
      </c>
      <c r="F386" t="n">
        <v>61.91</v>
      </c>
      <c r="G386">
        <f>H386/60</f>
        <v/>
      </c>
      <c r="H386">
        <f>MEDIAN(I382,I383,I384,I385,I386,I387,I388,I389,I390)</f>
        <v/>
      </c>
      <c r="I386" t="n">
        <v>87</v>
      </c>
      <c r="J386">
        <f>H386-F386</f>
        <v/>
      </c>
      <c r="K386">
        <f>ABS(J386)</f>
        <v/>
      </c>
      <c r="L386">
        <f>K386/F386*100</f>
        <v/>
      </c>
    </row>
    <row r="387">
      <c r="A387" t="inlineStr">
        <is>
          <t>subject10</t>
        </is>
      </c>
      <c r="B387" t="n">
        <v>30</v>
      </c>
      <c r="C387" t="n">
        <v>290</v>
      </c>
      <c r="D387" t="n">
        <v>330</v>
      </c>
      <c r="E387" t="n">
        <v>1.0166</v>
      </c>
      <c r="F387" t="n">
        <v>60.99</v>
      </c>
      <c r="G387">
        <f>H387/60</f>
        <v/>
      </c>
      <c r="H387">
        <f>MEDIAN(I383,I384,I385,I386,I387,I388,I389,I390,I391)</f>
        <v/>
      </c>
      <c r="I387" t="n">
        <v>87</v>
      </c>
      <c r="J387">
        <f>H387-F387</f>
        <v/>
      </c>
      <c r="K387">
        <f>ABS(J387)</f>
        <v/>
      </c>
      <c r="L387">
        <f>K387/F387*100</f>
        <v/>
      </c>
    </row>
    <row r="388">
      <c r="A388" t="inlineStr">
        <is>
          <t>subject10</t>
        </is>
      </c>
      <c r="B388" t="n">
        <v>31</v>
      </c>
      <c r="C388" t="n">
        <v>300</v>
      </c>
      <c r="D388" t="n">
        <v>340</v>
      </c>
      <c r="E388" t="n">
        <v>1.0055</v>
      </c>
      <c r="F388" t="n">
        <v>60.33</v>
      </c>
      <c r="G388">
        <f>H388/60</f>
        <v/>
      </c>
      <c r="H388">
        <f>MEDIAN(I384,I385,I386,I387,I388,I389,I390,I391,I392)</f>
        <v/>
      </c>
      <c r="I388" t="n">
        <v>63</v>
      </c>
      <c r="J388">
        <f>H388-F388</f>
        <v/>
      </c>
      <c r="K388">
        <f>ABS(J388)</f>
        <v/>
      </c>
      <c r="L388">
        <f>K388/F388*100</f>
        <v/>
      </c>
    </row>
    <row r="389">
      <c r="A389" t="inlineStr">
        <is>
          <t>subject10</t>
        </is>
      </c>
      <c r="B389" t="n">
        <v>32</v>
      </c>
      <c r="C389" t="n">
        <v>310</v>
      </c>
      <c r="D389" t="n">
        <v>350</v>
      </c>
      <c r="E389" t="n">
        <v>1.01</v>
      </c>
      <c r="F389" t="n">
        <v>60.6</v>
      </c>
      <c r="G389">
        <f>H389/60</f>
        <v/>
      </c>
      <c r="H389">
        <f>MEDIAN(I385,I386,I387,I388,I389,I390,I391,I392,I393)</f>
        <v/>
      </c>
      <c r="I389" t="n">
        <v>61.5</v>
      </c>
      <c r="J389">
        <f>H389-F389</f>
        <v/>
      </c>
      <c r="K389">
        <f>ABS(J389)</f>
        <v/>
      </c>
      <c r="L389">
        <f>K389/F389*100</f>
        <v/>
      </c>
    </row>
    <row r="390">
      <c r="A390" t="inlineStr">
        <is>
          <t>subject10</t>
        </is>
      </c>
      <c r="B390" t="n">
        <v>33</v>
      </c>
      <c r="C390" t="n">
        <v>320</v>
      </c>
      <c r="D390" t="n">
        <v>360</v>
      </c>
      <c r="E390" t="n">
        <v>0.9977</v>
      </c>
      <c r="F390" t="n">
        <v>59.86</v>
      </c>
      <c r="G390">
        <f>H390/60</f>
        <v/>
      </c>
      <c r="H390">
        <f>MEDIAN(I386,I387,I388,I389,I390,I391,I392,I393,I394)</f>
        <v/>
      </c>
      <c r="I390" t="n">
        <v>58.5</v>
      </c>
      <c r="J390">
        <f>H390-F390</f>
        <v/>
      </c>
      <c r="K390">
        <f>ABS(J390)</f>
        <v/>
      </c>
      <c r="L390">
        <f>K390/F390*100</f>
        <v/>
      </c>
    </row>
    <row r="391">
      <c r="A391" t="inlineStr">
        <is>
          <t>subject10</t>
        </is>
      </c>
      <c r="B391" t="n">
        <v>34</v>
      </c>
      <c r="C391" t="n">
        <v>330</v>
      </c>
      <c r="D391" t="n">
        <v>370</v>
      </c>
      <c r="E391" t="n">
        <v>0.9976</v>
      </c>
      <c r="F391" t="n">
        <v>59.86</v>
      </c>
      <c r="G391">
        <f>H391/60</f>
        <v/>
      </c>
      <c r="H391">
        <f>MEDIAN(I387,I388,I389,I390,I391,I392,I393,I394,I395)</f>
        <v/>
      </c>
      <c r="I391" t="n">
        <v>58.5</v>
      </c>
      <c r="J391">
        <f>H391-F391</f>
        <v/>
      </c>
      <c r="K391">
        <f>ABS(J391)</f>
        <v/>
      </c>
      <c r="L391">
        <f>K391/F391*100</f>
        <v/>
      </c>
    </row>
    <row r="392">
      <c r="A392" t="inlineStr">
        <is>
          <t>subject10</t>
        </is>
      </c>
      <c r="B392" t="n">
        <v>35</v>
      </c>
      <c r="C392" t="n">
        <v>340</v>
      </c>
      <c r="D392" t="n">
        <v>380</v>
      </c>
      <c r="E392" t="n">
        <v>1.0192</v>
      </c>
      <c r="F392" t="n">
        <v>61.15</v>
      </c>
      <c r="G392">
        <f>H392/60</f>
        <v/>
      </c>
      <c r="H392">
        <f>MEDIAN(I388,I389,I390,I391,I392,I393,I394,I395,I396)</f>
        <v/>
      </c>
      <c r="I392" t="n">
        <v>60</v>
      </c>
      <c r="J392">
        <f>H392-F392</f>
        <v/>
      </c>
      <c r="K392">
        <f>ABS(J392)</f>
        <v/>
      </c>
      <c r="L392">
        <f>K392/F392*100</f>
        <v/>
      </c>
    </row>
    <row r="393">
      <c r="A393" t="inlineStr">
        <is>
          <t>subject10</t>
        </is>
      </c>
      <c r="B393" t="n">
        <v>36</v>
      </c>
      <c r="C393" t="n">
        <v>350</v>
      </c>
      <c r="D393" t="n">
        <v>390</v>
      </c>
      <c r="E393" t="n">
        <v>1.0479</v>
      </c>
      <c r="F393" t="n">
        <v>62.87</v>
      </c>
      <c r="G393">
        <f>H393/60</f>
        <v/>
      </c>
      <c r="H393">
        <f>MEDIAN(I389,I390,I391,I392,I393,I394,I395,I396,I397)</f>
        <v/>
      </c>
      <c r="I393" t="n">
        <v>63</v>
      </c>
      <c r="J393">
        <f>H393-F393</f>
        <v/>
      </c>
      <c r="K393">
        <f>ABS(J393)</f>
        <v/>
      </c>
      <c r="L393">
        <f>K393/F393*100</f>
        <v/>
      </c>
    </row>
    <row r="394">
      <c r="A394" t="inlineStr">
        <is>
          <t>subject10</t>
        </is>
      </c>
      <c r="B394" t="n">
        <v>37</v>
      </c>
      <c r="C394" t="n">
        <v>360</v>
      </c>
      <c r="D394" t="n">
        <v>400</v>
      </c>
      <c r="E394" t="n">
        <v>1.0794</v>
      </c>
      <c r="F394" t="n">
        <v>64.76000000000001</v>
      </c>
      <c r="G394">
        <f>H394/60</f>
        <v/>
      </c>
      <c r="H394">
        <f>MEDIAN(I390,I391,I392,I393,I394,I395,I396,I397,I398)</f>
        <v/>
      </c>
      <c r="I394" t="n">
        <v>75</v>
      </c>
      <c r="J394">
        <f>H394-F394</f>
        <v/>
      </c>
      <c r="K394">
        <f>ABS(J394)</f>
        <v/>
      </c>
      <c r="L394">
        <f>K394/F394*100</f>
        <v/>
      </c>
    </row>
    <row r="395">
      <c r="A395" t="inlineStr">
        <is>
          <t>subject10</t>
        </is>
      </c>
      <c r="B395" t="n">
        <v>38</v>
      </c>
      <c r="C395" t="n">
        <v>370</v>
      </c>
      <c r="D395" t="n">
        <v>410</v>
      </c>
      <c r="E395" t="n">
        <v>1.0731</v>
      </c>
      <c r="F395" t="n">
        <v>64.39</v>
      </c>
      <c r="G395">
        <f>H395/60</f>
        <v/>
      </c>
      <c r="H395">
        <f>MEDIAN(I391,I392,I393,I394,I395,I396,I397,I398,I399)</f>
        <v/>
      </c>
      <c r="I395" t="n">
        <v>75</v>
      </c>
      <c r="J395">
        <f>H395-F395</f>
        <v/>
      </c>
      <c r="K395">
        <f>ABS(J395)</f>
        <v/>
      </c>
      <c r="L395">
        <f>K395/F395*100</f>
        <v/>
      </c>
    </row>
    <row r="396">
      <c r="A396" t="inlineStr">
        <is>
          <t>subject10</t>
        </is>
      </c>
      <c r="B396" t="n">
        <v>39</v>
      </c>
      <c r="C396" t="n">
        <v>380</v>
      </c>
      <c r="D396" t="n">
        <v>420</v>
      </c>
      <c r="E396" t="n">
        <v>1.0588</v>
      </c>
      <c r="F396" t="n">
        <v>63.53</v>
      </c>
      <c r="G396">
        <f>H396/60</f>
        <v/>
      </c>
      <c r="H396">
        <f>MEDIAN(I392,I393,I394,I395,I396,I397,I398,I399,I400)</f>
        <v/>
      </c>
      <c r="I396" t="n">
        <v>55.5</v>
      </c>
      <c r="J396">
        <f>H396-F396</f>
        <v/>
      </c>
      <c r="K396">
        <f>ABS(J396)</f>
        <v/>
      </c>
      <c r="L396">
        <f>K396/F396*100</f>
        <v/>
      </c>
    </row>
    <row r="397">
      <c r="A397" t="inlineStr">
        <is>
          <t>subject10</t>
        </is>
      </c>
      <c r="B397" t="n">
        <v>40</v>
      </c>
      <c r="C397" t="n">
        <v>390</v>
      </c>
      <c r="D397" t="n">
        <v>430</v>
      </c>
      <c r="E397" t="n">
        <v>1.038</v>
      </c>
      <c r="F397" t="n">
        <v>62.28</v>
      </c>
      <c r="G397">
        <f>H397/60</f>
        <v/>
      </c>
      <c r="H397">
        <f>MEDIAN(I393,I394,I395,I396,I397,I398,I399,I400,I401)</f>
        <v/>
      </c>
      <c r="I397" t="n">
        <v>57</v>
      </c>
      <c r="J397">
        <f>H397-F397</f>
        <v/>
      </c>
      <c r="K397">
        <f>ABS(J397)</f>
        <v/>
      </c>
      <c r="L397">
        <f>K397/F397*100</f>
        <v/>
      </c>
    </row>
    <row r="398">
      <c r="A398" t="inlineStr">
        <is>
          <t>subject10</t>
        </is>
      </c>
      <c r="B398" t="n">
        <v>41</v>
      </c>
      <c r="C398" t="n">
        <v>400</v>
      </c>
      <c r="D398" t="n">
        <v>440</v>
      </c>
      <c r="E398" t="n">
        <v>0.9903999999999999</v>
      </c>
      <c r="F398" t="n">
        <v>59.43</v>
      </c>
      <c r="G398">
        <f>H398/60</f>
        <v/>
      </c>
      <c r="H398">
        <f>MEDIAN(I394,I395,I396,I397,I398,I399,I400,I401,I402)</f>
        <v/>
      </c>
      <c r="I398" t="n">
        <v>58.5</v>
      </c>
      <c r="J398">
        <f>H398-F398</f>
        <v/>
      </c>
      <c r="K398">
        <f>ABS(J398)</f>
        <v/>
      </c>
      <c r="L398">
        <f>K398/F398*100</f>
        <v/>
      </c>
    </row>
    <row r="399">
      <c r="A399" t="inlineStr">
        <is>
          <t>subject10</t>
        </is>
      </c>
      <c r="B399" t="n">
        <v>42</v>
      </c>
      <c r="C399" t="n">
        <v>410</v>
      </c>
      <c r="D399" t="n">
        <v>450</v>
      </c>
      <c r="E399" t="n">
        <v>0.9533</v>
      </c>
      <c r="F399" t="n">
        <v>57.2</v>
      </c>
      <c r="G399">
        <f>H399/60</f>
        <v/>
      </c>
      <c r="H399">
        <f>MEDIAN(I395,I396,I397,I398,I399,I400,I401,I402,I403)</f>
        <v/>
      </c>
      <c r="I399" t="n">
        <v>81</v>
      </c>
      <c r="J399">
        <f>H399-F399</f>
        <v/>
      </c>
      <c r="K399">
        <f>ABS(J399)</f>
        <v/>
      </c>
      <c r="L399">
        <f>K399/F399*100</f>
        <v/>
      </c>
    </row>
    <row r="400">
      <c r="A400" t="inlineStr">
        <is>
          <t>subject10</t>
        </is>
      </c>
      <c r="B400" t="n">
        <v>43</v>
      </c>
      <c r="C400" t="n">
        <v>420</v>
      </c>
      <c r="D400" t="n">
        <v>460</v>
      </c>
      <c r="E400" t="n">
        <v>0.9281</v>
      </c>
      <c r="F400" t="n">
        <v>55.68</v>
      </c>
      <c r="G400">
        <f>H400/60</f>
        <v/>
      </c>
      <c r="H400">
        <f>MEDIAN(I396,I397,I398,I399,I400,I401,I402,I403,0)</f>
        <v/>
      </c>
      <c r="I400" t="n">
        <v>81</v>
      </c>
      <c r="J400">
        <f>H400-F400</f>
        <v/>
      </c>
      <c r="K400">
        <f>ABS(J400)</f>
        <v/>
      </c>
      <c r="L400">
        <f>K400/F400*100</f>
        <v/>
      </c>
    </row>
    <row r="401">
      <c r="A401" t="inlineStr">
        <is>
          <t>subject10</t>
        </is>
      </c>
      <c r="B401" t="n">
        <v>44</v>
      </c>
      <c r="C401" t="n">
        <v>430</v>
      </c>
      <c r="D401" t="n">
        <v>470</v>
      </c>
      <c r="E401" t="n">
        <v>0.9221</v>
      </c>
      <c r="F401" t="n">
        <v>55.33</v>
      </c>
      <c r="G401">
        <f>H401/60</f>
        <v/>
      </c>
      <c r="H401">
        <f>MEDIAN(I397,I398,I399,I400,I401,I402,I403,0,0)</f>
        <v/>
      </c>
      <c r="I401" t="n">
        <v>103.5</v>
      </c>
      <c r="J401">
        <f>H401-F401</f>
        <v/>
      </c>
      <c r="K401">
        <f>ABS(J401)</f>
        <v/>
      </c>
      <c r="L401">
        <f>K401/F401*100</f>
        <v/>
      </c>
    </row>
    <row r="402">
      <c r="A402" t="inlineStr">
        <is>
          <t>subject10</t>
        </is>
      </c>
      <c r="B402" t="n">
        <v>45</v>
      </c>
      <c r="C402" t="n">
        <v>440</v>
      </c>
      <c r="D402" t="n">
        <v>480</v>
      </c>
      <c r="E402" t="n">
        <v>0.9611</v>
      </c>
      <c r="F402" t="n">
        <v>57.67</v>
      </c>
      <c r="G402">
        <f>H402/60</f>
        <v/>
      </c>
      <c r="H402">
        <f>MEDIAN(I398,I399,I400,I401,I402,I403,0,0,0)</f>
        <v/>
      </c>
      <c r="I402" t="n">
        <v>106.5</v>
      </c>
      <c r="J402">
        <f>H402-F402</f>
        <v/>
      </c>
      <c r="K402">
        <f>ABS(J402)</f>
        <v/>
      </c>
      <c r="L402">
        <f>K402/F402*100</f>
        <v/>
      </c>
    </row>
    <row r="403">
      <c r="A403" t="inlineStr">
        <is>
          <t>subject10</t>
        </is>
      </c>
      <c r="B403" t="n">
        <v>46</v>
      </c>
      <c r="C403" t="n">
        <v>450</v>
      </c>
      <c r="D403" t="n">
        <v>490</v>
      </c>
      <c r="E403" t="n">
        <v>1.0141</v>
      </c>
      <c r="F403" t="n">
        <v>60.85</v>
      </c>
      <c r="G403">
        <f>H403/60</f>
        <v/>
      </c>
      <c r="H403">
        <f>MEDIAN(I399,I400,I401,I402,I403,0,0,0,0)</f>
        <v/>
      </c>
      <c r="I403" t="n">
        <v>63</v>
      </c>
      <c r="J403">
        <f>H403-F403</f>
        <v/>
      </c>
      <c r="K403">
        <f>ABS(J403)</f>
        <v/>
      </c>
      <c r="L403">
        <f>K403/F403*100</f>
        <v/>
      </c>
    </row>
    <row r="405">
      <c r="A405" s="2" t="inlineStr">
        <is>
          <t>RINGKASAN</t>
        </is>
      </c>
    </row>
    <row r="406">
      <c r="A406" s="3" t="inlineStr">
        <is>
          <t>keterangan</t>
        </is>
      </c>
      <c r="B406" s="3" t="inlineStr">
        <is>
          <t>subjek</t>
        </is>
      </c>
      <c r="C406" s="3" t="inlineStr">
        <is>
          <t>n_jendela</t>
        </is>
      </c>
      <c r="D406" s="3" t="inlineStr">
        <is>
          <t>std_ECG_bpm</t>
        </is>
      </c>
      <c r="E406" s="3" t="inlineStr">
        <is>
          <t>bias_bpm</t>
        </is>
      </c>
      <c r="F406" s="3" t="inlineStr">
        <is>
          <t>std_galat_bpm</t>
        </is>
      </c>
      <c r="G406" s="3" t="inlineStr">
        <is>
          <t>RMSE_bpm</t>
        </is>
      </c>
      <c r="J406" s="3" t="inlineStr">
        <is>
          <t>MAE_bpm</t>
        </is>
      </c>
      <c r="L406" s="3" t="inlineStr">
        <is>
          <t>MAPE_persen</t>
        </is>
      </c>
    </row>
    <row r="407">
      <c r="A407" t="inlineStr">
        <is>
          <t>per subjek</t>
        </is>
      </c>
      <c r="B407" t="inlineStr">
        <is>
          <t>subject01</t>
        </is>
      </c>
      <c r="C407">
        <f>COUNTIF($A$2:$A$403,$B407)</f>
        <v/>
      </c>
      <c r="D407" s="4">
        <f>SQRT(SUMPRODUCT(($A$2:$A$403=$B407)*($F$2:$F$403-AVERAGEIF($A$2:$A$403,$B407,$F$2:$F$403))^2)/(COUNTIF($A$2:$A$403,$B407)-1))</f>
        <v/>
      </c>
      <c r="E407" s="4">
        <f>AVERAGEIF($A$2:$A$403,$B407,$J$2:$J$403)</f>
        <v/>
      </c>
      <c r="F407" s="4">
        <f>SQRT(SUMPRODUCT(($A$2:$A$403=$B407)*($J$2:$J$403-$E407)^2)/(COUNTIF($A$2:$A$403,$B407)-1))</f>
        <v/>
      </c>
      <c r="G407" s="4">
        <f>SQRT(SUMPRODUCT(($A$2:$A$403=$B407)*$J$2:$J$403^2)/COUNTIF($A$2:$A$403,$B407))</f>
        <v/>
      </c>
      <c r="J407" s="4">
        <f>AVERAGEIF($A$2:$A$403,$B407,$K$2:$K$403)</f>
        <v/>
      </c>
      <c r="L407" s="4">
        <f>AVERAGEIF($A$2:$A$403,$B407,$L$2:$L$403)</f>
        <v/>
      </c>
    </row>
    <row r="408">
      <c r="A408" t="inlineStr">
        <is>
          <t>per subjek</t>
        </is>
      </c>
      <c r="B408" t="inlineStr">
        <is>
          <t>subject02</t>
        </is>
      </c>
      <c r="C408">
        <f>COUNTIF($A$2:$A$403,$B408)</f>
        <v/>
      </c>
      <c r="D408" s="4">
        <f>SQRT(SUMPRODUCT(($A$2:$A$403=$B408)*($F$2:$F$403-AVERAGEIF($A$2:$A$403,$B408,$F$2:$F$403))^2)/(COUNTIF($A$2:$A$403,$B408)-1))</f>
        <v/>
      </c>
      <c r="E408" s="4">
        <f>AVERAGEIF($A$2:$A$403,$B408,$J$2:$J$403)</f>
        <v/>
      </c>
      <c r="F408" s="4">
        <f>SQRT(SUMPRODUCT(($A$2:$A$403=$B408)*($J$2:$J$403-$E408)^2)/(COUNTIF($A$2:$A$403,$B408)-1))</f>
        <v/>
      </c>
      <c r="G408" s="4">
        <f>SQRT(SUMPRODUCT(($A$2:$A$403=$B408)*$J$2:$J$403^2)/COUNTIF($A$2:$A$403,$B408))</f>
        <v/>
      </c>
      <c r="J408" s="4">
        <f>AVERAGEIF($A$2:$A$403,$B408,$K$2:$K$403)</f>
        <v/>
      </c>
      <c r="L408" s="4">
        <f>AVERAGEIF($A$2:$A$403,$B408,$L$2:$L$403)</f>
        <v/>
      </c>
    </row>
    <row r="409">
      <c r="A409" t="inlineStr">
        <is>
          <t>per subjek</t>
        </is>
      </c>
      <c r="B409" t="inlineStr">
        <is>
          <t>subject03</t>
        </is>
      </c>
      <c r="C409">
        <f>COUNTIF($A$2:$A$403,$B409)</f>
        <v/>
      </c>
      <c r="D409" s="4">
        <f>SQRT(SUMPRODUCT(($A$2:$A$403=$B409)*($F$2:$F$403-AVERAGEIF($A$2:$A$403,$B409,$F$2:$F$403))^2)/(COUNTIF($A$2:$A$403,$B409)-1))</f>
        <v/>
      </c>
      <c r="E409" s="4">
        <f>AVERAGEIF($A$2:$A$403,$B409,$J$2:$J$403)</f>
        <v/>
      </c>
      <c r="F409" s="4">
        <f>SQRT(SUMPRODUCT(($A$2:$A$403=$B409)*($J$2:$J$403-$E409)^2)/(COUNTIF($A$2:$A$403,$B409)-1))</f>
        <v/>
      </c>
      <c r="G409" s="4">
        <f>SQRT(SUMPRODUCT(($A$2:$A$403=$B409)*$J$2:$J$403^2)/COUNTIF($A$2:$A$403,$B409))</f>
        <v/>
      </c>
      <c r="J409" s="4">
        <f>AVERAGEIF($A$2:$A$403,$B409,$K$2:$K$403)</f>
        <v/>
      </c>
      <c r="L409" s="4">
        <f>AVERAGEIF($A$2:$A$403,$B409,$L$2:$L$403)</f>
        <v/>
      </c>
    </row>
    <row r="410">
      <c r="A410" t="inlineStr">
        <is>
          <t>per subjek</t>
        </is>
      </c>
      <c r="B410" t="inlineStr">
        <is>
          <t>subject04</t>
        </is>
      </c>
      <c r="C410">
        <f>COUNTIF($A$2:$A$403,$B410)</f>
        <v/>
      </c>
      <c r="D410" s="4">
        <f>SQRT(SUMPRODUCT(($A$2:$A$403=$B410)*($F$2:$F$403-AVERAGEIF($A$2:$A$403,$B410,$F$2:$F$403))^2)/(COUNTIF($A$2:$A$403,$B410)-1))</f>
        <v/>
      </c>
      <c r="E410" s="4">
        <f>AVERAGEIF($A$2:$A$403,$B410,$J$2:$J$403)</f>
        <v/>
      </c>
      <c r="F410" s="4">
        <f>SQRT(SUMPRODUCT(($A$2:$A$403=$B410)*($J$2:$J$403-$E410)^2)/(COUNTIF($A$2:$A$403,$B410)-1))</f>
        <v/>
      </c>
      <c r="G410" s="4">
        <f>SQRT(SUMPRODUCT(($A$2:$A$403=$B410)*$J$2:$J$403^2)/COUNTIF($A$2:$A$403,$B410))</f>
        <v/>
      </c>
      <c r="J410" s="4">
        <f>AVERAGEIF($A$2:$A$403,$B410,$K$2:$K$403)</f>
        <v/>
      </c>
      <c r="L410" s="4">
        <f>AVERAGEIF($A$2:$A$403,$B410,$L$2:$L$403)</f>
        <v/>
      </c>
    </row>
    <row r="411">
      <c r="A411" t="inlineStr">
        <is>
          <t>per subjek</t>
        </is>
      </c>
      <c r="B411" t="inlineStr">
        <is>
          <t>subject05</t>
        </is>
      </c>
      <c r="C411">
        <f>COUNTIF($A$2:$A$403,$B411)</f>
        <v/>
      </c>
      <c r="D411" s="4">
        <f>SQRT(SUMPRODUCT(($A$2:$A$403=$B411)*($F$2:$F$403-AVERAGEIF($A$2:$A$403,$B411,$F$2:$F$403))^2)/(COUNTIF($A$2:$A$403,$B411)-1))</f>
        <v/>
      </c>
      <c r="E411" s="4">
        <f>AVERAGEIF($A$2:$A$403,$B411,$J$2:$J$403)</f>
        <v/>
      </c>
      <c r="F411" s="4">
        <f>SQRT(SUMPRODUCT(($A$2:$A$403=$B411)*($J$2:$J$403-$E411)^2)/(COUNTIF($A$2:$A$403,$B411)-1))</f>
        <v/>
      </c>
      <c r="G411" s="4">
        <f>SQRT(SUMPRODUCT(($A$2:$A$403=$B411)*$J$2:$J$403^2)/COUNTIF($A$2:$A$403,$B411))</f>
        <v/>
      </c>
      <c r="J411" s="4">
        <f>AVERAGEIF($A$2:$A$403,$B411,$K$2:$K$403)</f>
        <v/>
      </c>
      <c r="L411" s="4">
        <f>AVERAGEIF($A$2:$A$403,$B411,$L$2:$L$403)</f>
        <v/>
      </c>
    </row>
    <row r="412">
      <c r="A412" t="inlineStr">
        <is>
          <t>per subjek</t>
        </is>
      </c>
      <c r="B412" t="inlineStr">
        <is>
          <t>subject06</t>
        </is>
      </c>
      <c r="C412">
        <f>COUNTIF($A$2:$A$403,$B412)</f>
        <v/>
      </c>
      <c r="D412" s="4">
        <f>SQRT(SUMPRODUCT(($A$2:$A$403=$B412)*($F$2:$F$403-AVERAGEIF($A$2:$A$403,$B412,$F$2:$F$403))^2)/(COUNTIF($A$2:$A$403,$B412)-1))</f>
        <v/>
      </c>
      <c r="E412" s="4">
        <f>AVERAGEIF($A$2:$A$403,$B412,$J$2:$J$403)</f>
        <v/>
      </c>
      <c r="F412" s="4">
        <f>SQRT(SUMPRODUCT(($A$2:$A$403=$B412)*($J$2:$J$403-$E412)^2)/(COUNTIF($A$2:$A$403,$B412)-1))</f>
        <v/>
      </c>
      <c r="G412" s="4">
        <f>SQRT(SUMPRODUCT(($A$2:$A$403=$B412)*$J$2:$J$403^2)/COUNTIF($A$2:$A$403,$B412))</f>
        <v/>
      </c>
      <c r="J412" s="4">
        <f>AVERAGEIF($A$2:$A$403,$B412,$K$2:$K$403)</f>
        <v/>
      </c>
      <c r="L412" s="4">
        <f>AVERAGEIF($A$2:$A$403,$B412,$L$2:$L$403)</f>
        <v/>
      </c>
    </row>
    <row r="413">
      <c r="A413" t="inlineStr">
        <is>
          <t>per subjek</t>
        </is>
      </c>
      <c r="B413" t="inlineStr">
        <is>
          <t>subject07</t>
        </is>
      </c>
      <c r="C413">
        <f>COUNTIF($A$2:$A$403,$B413)</f>
        <v/>
      </c>
      <c r="D413" s="4">
        <f>SQRT(SUMPRODUCT(($A$2:$A$403=$B413)*($F$2:$F$403-AVERAGEIF($A$2:$A$403,$B413,$F$2:$F$403))^2)/(COUNTIF($A$2:$A$403,$B413)-1))</f>
        <v/>
      </c>
      <c r="E413" s="4">
        <f>AVERAGEIF($A$2:$A$403,$B413,$J$2:$J$403)</f>
        <v/>
      </c>
      <c r="F413" s="4">
        <f>SQRT(SUMPRODUCT(($A$2:$A$403=$B413)*($J$2:$J$403-$E413)^2)/(COUNTIF($A$2:$A$403,$B413)-1))</f>
        <v/>
      </c>
      <c r="G413" s="4">
        <f>SQRT(SUMPRODUCT(($A$2:$A$403=$B413)*$J$2:$J$403^2)/COUNTIF($A$2:$A$403,$B413))</f>
        <v/>
      </c>
      <c r="J413" s="4">
        <f>AVERAGEIF($A$2:$A$403,$B413,$K$2:$K$403)</f>
        <v/>
      </c>
      <c r="L413" s="4">
        <f>AVERAGEIF($A$2:$A$403,$B413,$L$2:$L$403)</f>
        <v/>
      </c>
    </row>
    <row r="414">
      <c r="A414" t="inlineStr">
        <is>
          <t>per subjek</t>
        </is>
      </c>
      <c r="B414" t="inlineStr">
        <is>
          <t>subject08</t>
        </is>
      </c>
      <c r="C414">
        <f>COUNTIF($A$2:$A$403,$B414)</f>
        <v/>
      </c>
      <c r="D414" s="4">
        <f>SQRT(SUMPRODUCT(($A$2:$A$403=$B414)*($F$2:$F$403-AVERAGEIF($A$2:$A$403,$B414,$F$2:$F$403))^2)/(COUNTIF($A$2:$A$403,$B414)-1))</f>
        <v/>
      </c>
      <c r="E414" s="4">
        <f>AVERAGEIF($A$2:$A$403,$B414,$J$2:$J$403)</f>
        <v/>
      </c>
      <c r="F414" s="4">
        <f>SQRT(SUMPRODUCT(($A$2:$A$403=$B414)*($J$2:$J$403-$E414)^2)/(COUNTIF($A$2:$A$403,$B414)-1))</f>
        <v/>
      </c>
      <c r="G414" s="4">
        <f>SQRT(SUMPRODUCT(($A$2:$A$403=$B414)*$J$2:$J$403^2)/COUNTIF($A$2:$A$403,$B414))</f>
        <v/>
      </c>
      <c r="J414" s="4">
        <f>AVERAGEIF($A$2:$A$403,$B414,$K$2:$K$403)</f>
        <v/>
      </c>
      <c r="L414" s="4">
        <f>AVERAGEIF($A$2:$A$403,$B414,$L$2:$L$403)</f>
        <v/>
      </c>
    </row>
    <row r="415">
      <c r="A415" t="inlineStr">
        <is>
          <t>per subjek</t>
        </is>
      </c>
      <c r="B415" t="inlineStr">
        <is>
          <t>subject09</t>
        </is>
      </c>
      <c r="C415">
        <f>COUNTIF($A$2:$A$403,$B415)</f>
        <v/>
      </c>
      <c r="D415" s="4">
        <f>SQRT(SUMPRODUCT(($A$2:$A$403=$B415)*($F$2:$F$403-AVERAGEIF($A$2:$A$403,$B415,$F$2:$F$403))^2)/(COUNTIF($A$2:$A$403,$B415)-1))</f>
        <v/>
      </c>
      <c r="E415" s="4">
        <f>AVERAGEIF($A$2:$A$403,$B415,$J$2:$J$403)</f>
        <v/>
      </c>
      <c r="F415" s="4">
        <f>SQRT(SUMPRODUCT(($A$2:$A$403=$B415)*($J$2:$J$403-$E415)^2)/(COUNTIF($A$2:$A$403,$B415)-1))</f>
        <v/>
      </c>
      <c r="G415" s="4">
        <f>SQRT(SUMPRODUCT(($A$2:$A$403=$B415)*$J$2:$J$403^2)/COUNTIF($A$2:$A$403,$B415))</f>
        <v/>
      </c>
      <c r="J415" s="4">
        <f>AVERAGEIF($A$2:$A$403,$B415,$K$2:$K$403)</f>
        <v/>
      </c>
      <c r="L415" s="4">
        <f>AVERAGEIF($A$2:$A$403,$B415,$L$2:$L$403)</f>
        <v/>
      </c>
    </row>
    <row r="416">
      <c r="A416" t="inlineStr">
        <is>
          <t>per subjek</t>
        </is>
      </c>
      <c r="B416" t="inlineStr">
        <is>
          <t>subject10</t>
        </is>
      </c>
      <c r="C416">
        <f>COUNTIF($A$2:$A$403,$B416)</f>
        <v/>
      </c>
      <c r="D416" s="4">
        <f>SQRT(SUMPRODUCT(($A$2:$A$403=$B416)*($F$2:$F$403-AVERAGEIF($A$2:$A$403,$B416,$F$2:$F$403))^2)/(COUNTIF($A$2:$A$403,$B416)-1))</f>
        <v/>
      </c>
      <c r="E416" s="4">
        <f>AVERAGEIF($A$2:$A$403,$B416,$J$2:$J$403)</f>
        <v/>
      </c>
      <c r="F416" s="4">
        <f>SQRT(SUMPRODUCT(($A$2:$A$403=$B416)*($J$2:$J$403-$E416)^2)/(COUNTIF($A$2:$A$403,$B416)-1))</f>
        <v/>
      </c>
      <c r="G416" s="4">
        <f>SQRT(SUMPRODUCT(($A$2:$A$403=$B416)*$J$2:$J$403^2)/COUNTIF($A$2:$A$403,$B416))</f>
        <v/>
      </c>
      <c r="J416" s="4">
        <f>AVERAGEIF($A$2:$A$403,$B416,$K$2:$K$403)</f>
        <v/>
      </c>
      <c r="L416" s="4">
        <f>AVERAGEIF($A$2:$A$403,$B416,$L$2:$L$403)</f>
        <v/>
      </c>
    </row>
    <row r="418">
      <c r="A418" s="5" t="inlineStr">
        <is>
          <t>rata-rata antar-subjek</t>
        </is>
      </c>
      <c r="B418" t="inlineStr">
        <is>
          <t>&lt;- ini yang dilaporkan di tesis</t>
        </is>
      </c>
      <c r="J418" s="6">
        <f>AVERAGE(J407:J416)</f>
        <v/>
      </c>
      <c r="L418" s="6">
        <f>AVERAGE(L407:L416)</f>
        <v/>
      </c>
    </row>
    <row r="419">
      <c r="A419" t="inlineStr">
        <is>
          <t>gabungan semua jendela</t>
        </is>
      </c>
      <c r="B419" t="inlineStr">
        <is>
          <t>(bobot per jendela, BUKAN yang dipakai)</t>
        </is>
      </c>
      <c r="C419">
        <f>COUNT($K$2:$K$403)</f>
        <v/>
      </c>
      <c r="J419" s="4">
        <f>AVERAGE($K$2:$K$403)</f>
        <v/>
      </c>
      <c r="L419" s="4">
        <f>AVERAGE($L$2:$L$403)</f>
        <v/>
      </c>
    </row>
    <row r="421">
      <c r="A421" s="5" t="inlineStr">
        <is>
          <t>lolos standar ANSI/CTA-2065 (MAPE &lt; 10%)</t>
        </is>
      </c>
      <c r="J421" s="5">
        <f>COUNTIF(L407:L416,"&lt;10")&amp;" dari 10 subjek"</f>
        <v/>
      </c>
    </row>
    <row r="423">
      <c r="A423" s="2" t="inlineStr">
        <is>
          <t>BLAND-ALTMAN (semua jendela)</t>
        </is>
      </c>
    </row>
    <row r="424">
      <c r="A424" t="inlineStr">
        <is>
          <t>bias (rata-rata galat)</t>
        </is>
      </c>
      <c r="E424" s="4">
        <f>AVERAGE($J$2:$J$403)</f>
        <v/>
      </c>
    </row>
    <row r="425">
      <c r="A425" t="inlineStr">
        <is>
          <t>simpangan baku galat</t>
        </is>
      </c>
      <c r="E425" s="4">
        <f>STDEV($J$2:$J$403)</f>
        <v/>
      </c>
    </row>
    <row r="426">
      <c r="A426" t="inlineStr">
        <is>
          <t>batas kesepakatan 95% bawah</t>
        </is>
      </c>
      <c r="E426" s="4">
        <f>E424-1.96*E425</f>
        <v/>
      </c>
    </row>
    <row r="427">
      <c r="A427" t="inlineStr">
        <is>
          <t>batas kesepakatan 95% atas</t>
        </is>
      </c>
      <c r="E427" s="4">
        <f>E424+1.96*E425</f>
        <v/>
      </c>
    </row>
    <row r="429">
      <c r="A429" s="7" t="inlineStr">
        <is>
          <t>CATATAN std_ECG_bpm - ini yang menjelaskan kenapa korelasi rendah:</t>
        </is>
      </c>
    </row>
    <row r="430">
      <c r="A430" s="8" t="inlineStr">
        <is>
          <t xml:space="preserve">  Semua subjek direkam duduk diam, jadi detak jantungnya nyaris tidak berubah</t>
        </is>
      </c>
    </row>
    <row r="431">
      <c r="A431" s="8" t="inlineStr">
        <is>
          <t xml:space="preserve">  (std hanya 0.9-4.2 bpm). Korelasi mengukur apakah NAIK-TURUNnya cocok; kalau</t>
        </is>
      </c>
    </row>
    <row r="432">
      <c r="A432" s="8" t="inlineStr">
        <is>
          <t xml:space="preserve">  tidak ada naik-turun, korelasi mendekati nol SEKALIPUN estimasinya akurat.</t>
        </is>
      </c>
    </row>
    <row r="433">
      <c r="A433" s="8" t="inlineStr">
        <is>
          <t xml:space="preserve">  Batas atas korelasi yang mungkin: r_maks = std / AKAR(std^2 + galat^2).</t>
        </is>
      </c>
    </row>
    <row r="434">
      <c r="A434" s="8" t="inlineStr">
        <is>
          <t xml:space="preserve">  Untuk subject03 (std 0.9 bpm), estimator SEMPURNA pun hanya bisa mencapai r = 0.09.</t>
        </is>
      </c>
    </row>
    <row r="435">
      <c r="A435" s="8" t="inlineStr">
        <is>
          <t xml:space="preserve">  Jadi korelasi rendah di sini adalah keterbatasan DATASET, bukan keterbatasan metode.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2026-07-14T08:12:44Z</dcterms:created>
  <dcterms:modified xmlns:dcterms="http://purl.org/dc/terms/" xmlns:xsi="http://www.w3.org/2001/XMLSchema-instance" xsi:type="dcterms:W3CDTF">2026-07-14T08:12:44Z</dcterms:modified>
</cp:coreProperties>
</file>